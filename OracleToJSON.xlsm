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_\Documents\TFM\Code\"/>
    </mc:Choice>
  </mc:AlternateContent>
  <xr:revisionPtr revIDLastSave="0" documentId="8_{B2666ACD-15E1-49B8-A079-144A25A59A30}" xr6:coauthVersionLast="28" xr6:coauthVersionMax="28" xr10:uidLastSave="{00000000-0000-0000-0000-000000000000}"/>
  <bookViews>
    <workbookView xWindow="0" yWindow="0" windowWidth="12120" windowHeight="5505" xr2:uid="{6B21E787-F17F-4D8F-A3E1-D1C84958F3B7}"/>
  </bookViews>
  <sheets>
    <sheet name="Hoja1" sheetId="4" r:id="rId1"/>
    <sheet name="Hoja2" sheetId="5" r:id="rId2"/>
    <sheet name="Case A" sheetId="2" r:id="rId3"/>
    <sheet name="Case B" sheetId="1" r:id="rId4"/>
    <sheet name="Case C" sheetId="3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5" l="1"/>
  <c r="C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" i="4"/>
  <c r="R11" i="3" l="1"/>
  <c r="N11" i="3"/>
  <c r="J11" i="3"/>
  <c r="R11" i="1"/>
  <c r="N11" i="1"/>
  <c r="J11" i="1"/>
  <c r="Q16" i="3" l="1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15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14" i="3"/>
  <c r="J16" i="3"/>
  <c r="J17" i="3" s="1"/>
  <c r="J18" i="3" s="1"/>
  <c r="J19" i="3" s="1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15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14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15" i="3"/>
  <c r="D14" i="3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14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15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R24" i="1"/>
  <c r="R25" i="1"/>
  <c r="R26" i="1"/>
  <c r="R27" i="1"/>
  <c r="R28" i="1"/>
  <c r="R29" i="1"/>
  <c r="R30" i="1"/>
  <c r="R31" i="1"/>
  <c r="R32" i="1"/>
  <c r="R33" i="1"/>
  <c r="S15" i="1"/>
  <c r="S24" i="1"/>
  <c r="S25" i="1"/>
  <c r="S26" i="1"/>
  <c r="S27" i="1"/>
  <c r="S28" i="1"/>
  <c r="S29" i="1"/>
  <c r="S30" i="1"/>
  <c r="S31" i="1"/>
  <c r="S32" i="1"/>
  <c r="S33" i="1"/>
  <c r="Q15" i="1"/>
  <c r="Q24" i="1"/>
  <c r="Q25" i="1"/>
  <c r="Q26" i="1"/>
  <c r="Q27" i="1"/>
  <c r="Q28" i="1"/>
  <c r="Q29" i="1"/>
  <c r="Q30" i="1"/>
  <c r="Q31" i="1"/>
  <c r="Q32" i="1"/>
  <c r="Q33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G14" i="1"/>
  <c r="I14" i="1" s="1"/>
  <c r="G24" i="1"/>
  <c r="G25" i="1"/>
  <c r="G26" i="1"/>
  <c r="G27" i="1"/>
  <c r="G28" i="1"/>
  <c r="G29" i="1"/>
  <c r="G30" i="1"/>
  <c r="G31" i="1"/>
  <c r="G32" i="1"/>
  <c r="G33" i="1"/>
  <c r="L14" i="2"/>
  <c r="G14" i="2"/>
  <c r="D14" i="2"/>
  <c r="E14" i="2" s="1"/>
  <c r="B2" i="4" s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14" i="1"/>
  <c r="O24" i="1"/>
  <c r="O25" i="1"/>
  <c r="O26" i="1"/>
  <c r="O27" i="1"/>
  <c r="O28" i="1"/>
  <c r="O29" i="1"/>
  <c r="O30" i="1"/>
  <c r="O31" i="1"/>
  <c r="O32" i="1"/>
  <c r="O33" i="1"/>
  <c r="N24" i="1"/>
  <c r="N25" i="1"/>
  <c r="N26" i="1"/>
  <c r="N27" i="1"/>
  <c r="N28" i="1"/>
  <c r="N29" i="1"/>
  <c r="N30" i="1"/>
  <c r="N31" i="1"/>
  <c r="N32" i="1"/>
  <c r="N33" i="1"/>
  <c r="M24" i="1"/>
  <c r="M25" i="1"/>
  <c r="M26" i="1"/>
  <c r="M27" i="1"/>
  <c r="M28" i="1"/>
  <c r="M29" i="1"/>
  <c r="M30" i="1"/>
  <c r="M31" i="1"/>
  <c r="M32" i="1"/>
  <c r="M33" i="1"/>
  <c r="D14" i="1"/>
  <c r="E14" i="1" s="1"/>
  <c r="G15" i="1" s="1"/>
  <c r="I15" i="1" s="1"/>
  <c r="D15" i="3" l="1"/>
  <c r="G14" i="3"/>
  <c r="E14" i="3"/>
  <c r="M14" i="1"/>
  <c r="M14" i="2"/>
  <c r="N14" i="2" s="1"/>
  <c r="O14" i="2" s="1"/>
  <c r="H14" i="2"/>
  <c r="I14" i="2"/>
  <c r="D15" i="2"/>
  <c r="M15" i="1"/>
  <c r="J14" i="1"/>
  <c r="K14" i="1" s="1"/>
  <c r="D15" i="1"/>
  <c r="J14" i="2" l="1"/>
  <c r="K14" i="2" s="1"/>
  <c r="J14" i="3"/>
  <c r="N14" i="3"/>
  <c r="D16" i="3"/>
  <c r="E15" i="3"/>
  <c r="G15" i="3"/>
  <c r="S15" i="3"/>
  <c r="J15" i="1"/>
  <c r="G15" i="2"/>
  <c r="M15" i="2" s="1"/>
  <c r="N15" i="2" s="1"/>
  <c r="D16" i="2"/>
  <c r="H15" i="2"/>
  <c r="L15" i="2"/>
  <c r="E15" i="2"/>
  <c r="B3" i="4" s="1"/>
  <c r="N14" i="1"/>
  <c r="E15" i="1"/>
  <c r="G16" i="1" s="1"/>
  <c r="D16" i="1"/>
  <c r="O15" i="2" l="1"/>
  <c r="O14" i="3"/>
  <c r="N15" i="3"/>
  <c r="E16" i="3"/>
  <c r="G16" i="3"/>
  <c r="D17" i="3"/>
  <c r="R15" i="3"/>
  <c r="Q16" i="1"/>
  <c r="I16" i="1"/>
  <c r="J16" i="1" s="1"/>
  <c r="R15" i="1"/>
  <c r="K15" i="1"/>
  <c r="I15" i="2"/>
  <c r="J15" i="2" s="1"/>
  <c r="K15" i="2" s="1"/>
  <c r="D17" i="2"/>
  <c r="L16" i="2"/>
  <c r="H16" i="2"/>
  <c r="E16" i="2"/>
  <c r="B4" i="4" s="1"/>
  <c r="G16" i="2"/>
  <c r="I16" i="2" s="1"/>
  <c r="J16" i="2" s="1"/>
  <c r="K16" i="2" s="1"/>
  <c r="N15" i="1"/>
  <c r="O15" i="1" s="1"/>
  <c r="O14" i="1"/>
  <c r="M16" i="1"/>
  <c r="E16" i="1"/>
  <c r="G17" i="1" s="1"/>
  <c r="D17" i="1"/>
  <c r="M16" i="2" l="1"/>
  <c r="N16" i="2" s="1"/>
  <c r="O16" i="2" s="1"/>
  <c r="R16" i="3"/>
  <c r="S16" i="3" s="1"/>
  <c r="G17" i="3"/>
  <c r="E17" i="3"/>
  <c r="D18" i="3"/>
  <c r="R16" i="1"/>
  <c r="S16" i="1" s="1"/>
  <c r="Q17" i="1"/>
  <c r="I17" i="1"/>
  <c r="J17" i="1"/>
  <c r="K16" i="1"/>
  <c r="H17" i="2"/>
  <c r="L17" i="2"/>
  <c r="G17" i="2"/>
  <c r="M17" i="2" s="1"/>
  <c r="N17" i="2" s="1"/>
  <c r="D18" i="2"/>
  <c r="E17" i="2"/>
  <c r="B5" i="4" s="1"/>
  <c r="N16" i="1"/>
  <c r="O16" i="1" s="1"/>
  <c r="M17" i="1"/>
  <c r="D18" i="1"/>
  <c r="E17" i="1"/>
  <c r="G18" i="1" s="1"/>
  <c r="Q18" i="1" s="1"/>
  <c r="R17" i="3" l="1"/>
  <c r="S17" i="3" s="1"/>
  <c r="D19" i="3"/>
  <c r="G18" i="3"/>
  <c r="R18" i="3" s="1"/>
  <c r="S18" i="3" s="1"/>
  <c r="E18" i="3"/>
  <c r="J18" i="1"/>
  <c r="K17" i="1"/>
  <c r="R17" i="1"/>
  <c r="S17" i="1" s="1"/>
  <c r="O17" i="2"/>
  <c r="E18" i="2"/>
  <c r="B6" i="4" s="1"/>
  <c r="H18" i="2"/>
  <c r="G18" i="2"/>
  <c r="I18" i="2" s="1"/>
  <c r="D19" i="2"/>
  <c r="L18" i="2"/>
  <c r="I17" i="2"/>
  <c r="J17" i="2" s="1"/>
  <c r="K17" i="2" s="1"/>
  <c r="N17" i="1"/>
  <c r="O17" i="1" s="1"/>
  <c r="M18" i="1"/>
  <c r="D19" i="1"/>
  <c r="E18" i="1"/>
  <c r="G19" i="1" s="1"/>
  <c r="Q19" i="1" s="1"/>
  <c r="J18" i="2" l="1"/>
  <c r="K18" i="2" s="1"/>
  <c r="M18" i="2"/>
  <c r="N18" i="2" s="1"/>
  <c r="O18" i="2" s="1"/>
  <c r="D20" i="3"/>
  <c r="G19" i="3"/>
  <c r="R19" i="3" s="1"/>
  <c r="E19" i="3"/>
  <c r="R18" i="1"/>
  <c r="S18" i="1" s="1"/>
  <c r="J19" i="1"/>
  <c r="K18" i="1"/>
  <c r="G19" i="2"/>
  <c r="I19" i="2" s="1"/>
  <c r="J19" i="2" s="1"/>
  <c r="H19" i="2"/>
  <c r="L19" i="2"/>
  <c r="E19" i="2"/>
  <c r="B7" i="4" s="1"/>
  <c r="D20" i="2"/>
  <c r="N18" i="1"/>
  <c r="O18" i="1" s="1"/>
  <c r="M19" i="1"/>
  <c r="D20" i="1"/>
  <c r="E19" i="1"/>
  <c r="G20" i="1" s="1"/>
  <c r="Q20" i="1" s="1"/>
  <c r="K19" i="2" l="1"/>
  <c r="R19" i="1"/>
  <c r="S19" i="1" s="1"/>
  <c r="R20" i="1"/>
  <c r="S20" i="1" s="1"/>
  <c r="S19" i="3"/>
  <c r="E20" i="3"/>
  <c r="D21" i="3"/>
  <c r="G20" i="3"/>
  <c r="R20" i="3" s="1"/>
  <c r="D21" i="2"/>
  <c r="L20" i="2"/>
  <c r="H20" i="2"/>
  <c r="G20" i="2"/>
  <c r="M20" i="2" s="1"/>
  <c r="E20" i="2"/>
  <c r="B8" i="4" s="1"/>
  <c r="M19" i="2"/>
  <c r="N19" i="2" s="1"/>
  <c r="O19" i="2" s="1"/>
  <c r="N19" i="1"/>
  <c r="O19" i="1" s="1"/>
  <c r="M20" i="1"/>
  <c r="D21" i="1"/>
  <c r="E20" i="1"/>
  <c r="G21" i="1" s="1"/>
  <c r="Q21" i="1" s="1"/>
  <c r="R21" i="1" s="1"/>
  <c r="I20" i="2" l="1"/>
  <c r="J20" i="2" s="1"/>
  <c r="K20" i="2" s="1"/>
  <c r="N20" i="2"/>
  <c r="O20" i="2" s="1"/>
  <c r="S20" i="3"/>
  <c r="G21" i="3"/>
  <c r="R21" i="3" s="1"/>
  <c r="E21" i="3"/>
  <c r="D22" i="3"/>
  <c r="N20" i="1"/>
  <c r="O20" i="1" s="1"/>
  <c r="S21" i="1"/>
  <c r="N21" i="2"/>
  <c r="M21" i="2"/>
  <c r="I21" i="2"/>
  <c r="O21" i="2"/>
  <c r="H21" i="2"/>
  <c r="L21" i="2"/>
  <c r="G21" i="2"/>
  <c r="J21" i="2"/>
  <c r="K21" i="2"/>
  <c r="E21" i="2"/>
  <c r="B9" i="4" s="1"/>
  <c r="D22" i="2"/>
  <c r="M21" i="1"/>
  <c r="N21" i="1" s="1"/>
  <c r="O21" i="1" s="1"/>
  <c r="D22" i="1"/>
  <c r="E21" i="1"/>
  <c r="G22" i="1" s="1"/>
  <c r="Q22" i="1" s="1"/>
  <c r="R22" i="1" s="1"/>
  <c r="S21" i="3" l="1"/>
  <c r="D23" i="3"/>
  <c r="G22" i="3"/>
  <c r="R22" i="3" s="1"/>
  <c r="E22" i="3"/>
  <c r="S22" i="1"/>
  <c r="O22" i="2"/>
  <c r="K22" i="2"/>
  <c r="G22" i="2"/>
  <c r="N22" i="2"/>
  <c r="J22" i="2"/>
  <c r="E22" i="2"/>
  <c r="B10" i="4" s="1"/>
  <c r="L22" i="2"/>
  <c r="I22" i="2"/>
  <c r="M22" i="2"/>
  <c r="D23" i="2"/>
  <c r="H22" i="2"/>
  <c r="M22" i="1"/>
  <c r="N22" i="1" s="1"/>
  <c r="O22" i="1" s="1"/>
  <c r="D23" i="1"/>
  <c r="E22" i="1"/>
  <c r="G23" i="1" s="1"/>
  <c r="Q23" i="1" s="1"/>
  <c r="R23" i="1" s="1"/>
  <c r="S23" i="1" s="1"/>
  <c r="S22" i="3" l="1"/>
  <c r="S23" i="3"/>
  <c r="D24" i="3"/>
  <c r="G23" i="3"/>
  <c r="E23" i="3"/>
  <c r="R23" i="3"/>
  <c r="D24" i="2"/>
  <c r="L23" i="2"/>
  <c r="H23" i="2"/>
  <c r="O23" i="2"/>
  <c r="K23" i="2"/>
  <c r="G23" i="2"/>
  <c r="N23" i="2"/>
  <c r="J23" i="2"/>
  <c r="E23" i="2"/>
  <c r="B11" i="4" s="1"/>
  <c r="M23" i="2"/>
  <c r="I23" i="2"/>
  <c r="M23" i="1"/>
  <c r="N23" i="1" s="1"/>
  <c r="O23" i="1" s="1"/>
  <c r="D24" i="1"/>
  <c r="E23" i="1"/>
  <c r="R24" i="3" l="1"/>
  <c r="E24" i="3"/>
  <c r="D25" i="3"/>
  <c r="G24" i="3"/>
  <c r="S24" i="3"/>
  <c r="M24" i="2"/>
  <c r="I24" i="2"/>
  <c r="D25" i="2"/>
  <c r="L24" i="2"/>
  <c r="H24" i="2"/>
  <c r="O24" i="2"/>
  <c r="K24" i="2"/>
  <c r="G24" i="2"/>
  <c r="N24" i="2"/>
  <c r="J24" i="2"/>
  <c r="E24" i="2"/>
  <c r="B12" i="4" s="1"/>
  <c r="D25" i="1"/>
  <c r="E24" i="1"/>
  <c r="S25" i="3" l="1"/>
  <c r="G25" i="3"/>
  <c r="R25" i="3"/>
  <c r="E25" i="3"/>
  <c r="D26" i="3"/>
  <c r="N25" i="2"/>
  <c r="J25" i="2"/>
  <c r="E25" i="2"/>
  <c r="B13" i="4" s="1"/>
  <c r="M25" i="2"/>
  <c r="I25" i="2"/>
  <c r="D26" i="2"/>
  <c r="L25" i="2"/>
  <c r="H25" i="2"/>
  <c r="G25" i="2"/>
  <c r="K25" i="2"/>
  <c r="O25" i="2"/>
  <c r="D26" i="1"/>
  <c r="E25" i="1"/>
  <c r="D27" i="3" l="1"/>
  <c r="R26" i="3"/>
  <c r="S26" i="3"/>
  <c r="G26" i="3"/>
  <c r="E26" i="3"/>
  <c r="O26" i="2"/>
  <c r="K26" i="2"/>
  <c r="G26" i="2"/>
  <c r="N26" i="2"/>
  <c r="J26" i="2"/>
  <c r="E26" i="2"/>
  <c r="M26" i="2"/>
  <c r="I26" i="2"/>
  <c r="L26" i="2"/>
  <c r="H26" i="2"/>
  <c r="D27" i="2"/>
  <c r="D27" i="1"/>
  <c r="E26" i="1"/>
  <c r="D28" i="3" l="1"/>
  <c r="S27" i="3"/>
  <c r="G27" i="3"/>
  <c r="E27" i="3"/>
  <c r="R27" i="3"/>
  <c r="D28" i="2"/>
  <c r="L27" i="2"/>
  <c r="H27" i="2"/>
  <c r="O27" i="2"/>
  <c r="K27" i="2"/>
  <c r="G27" i="2"/>
  <c r="N27" i="2"/>
  <c r="J27" i="2"/>
  <c r="E27" i="2"/>
  <c r="M27" i="2"/>
  <c r="I27" i="2"/>
  <c r="D28" i="1"/>
  <c r="E27" i="1"/>
  <c r="R28" i="3" l="1"/>
  <c r="E28" i="3"/>
  <c r="D29" i="3"/>
  <c r="G28" i="3"/>
  <c r="S28" i="3"/>
  <c r="M28" i="2"/>
  <c r="I28" i="2"/>
  <c r="D29" i="2"/>
  <c r="L28" i="2"/>
  <c r="H28" i="2"/>
  <c r="O28" i="2"/>
  <c r="K28" i="2"/>
  <c r="G28" i="2"/>
  <c r="E28" i="2"/>
  <c r="J28" i="2"/>
  <c r="N28" i="2"/>
  <c r="D29" i="1"/>
  <c r="E28" i="1"/>
  <c r="S29" i="3" l="1"/>
  <c r="G29" i="3"/>
  <c r="R29" i="3"/>
  <c r="E29" i="3"/>
  <c r="D30" i="3"/>
  <c r="N29" i="2"/>
  <c r="J29" i="2"/>
  <c r="E29" i="2"/>
  <c r="M29" i="2"/>
  <c r="I29" i="2"/>
  <c r="D30" i="2"/>
  <c r="L29" i="2"/>
  <c r="H29" i="2"/>
  <c r="K29" i="2"/>
  <c r="G29" i="2"/>
  <c r="O29" i="2"/>
  <c r="D30" i="1"/>
  <c r="E29" i="1"/>
  <c r="D31" i="3" l="1"/>
  <c r="S30" i="3"/>
  <c r="G30" i="3"/>
  <c r="E30" i="3"/>
  <c r="R30" i="3"/>
  <c r="O30" i="2"/>
  <c r="K30" i="2"/>
  <c r="G30" i="2"/>
  <c r="N30" i="2"/>
  <c r="J30" i="2"/>
  <c r="E30" i="2"/>
  <c r="M30" i="2"/>
  <c r="I30" i="2"/>
  <c r="D31" i="2"/>
  <c r="L30" i="2"/>
  <c r="H30" i="2"/>
  <c r="D31" i="1"/>
  <c r="E30" i="1"/>
  <c r="D32" i="3" l="1"/>
  <c r="S31" i="3"/>
  <c r="G31" i="3"/>
  <c r="R31" i="3"/>
  <c r="E31" i="3"/>
  <c r="D32" i="2"/>
  <c r="L31" i="2"/>
  <c r="H31" i="2"/>
  <c r="O31" i="2"/>
  <c r="K31" i="2"/>
  <c r="G31" i="2"/>
  <c r="N31" i="2"/>
  <c r="J31" i="2"/>
  <c r="E31" i="2"/>
  <c r="M31" i="2"/>
  <c r="I31" i="2"/>
  <c r="D32" i="1"/>
  <c r="E31" i="1"/>
  <c r="R32" i="3" l="1"/>
  <c r="E32" i="3"/>
  <c r="D33" i="3"/>
  <c r="S32" i="3"/>
  <c r="G32" i="3"/>
  <c r="M32" i="2"/>
  <c r="I32" i="2"/>
  <c r="D33" i="2"/>
  <c r="L32" i="2"/>
  <c r="H32" i="2"/>
  <c r="O32" i="2"/>
  <c r="K32" i="2"/>
  <c r="G32" i="2"/>
  <c r="J32" i="2"/>
  <c r="E32" i="2"/>
  <c r="N32" i="2"/>
  <c r="D33" i="1"/>
  <c r="E33" i="1" s="1"/>
  <c r="E32" i="1"/>
  <c r="S33" i="3" l="1"/>
  <c r="G33" i="3"/>
  <c r="R33" i="3"/>
  <c r="E33" i="3"/>
  <c r="M33" i="3"/>
  <c r="N33" i="2"/>
  <c r="J33" i="2"/>
  <c r="E33" i="2"/>
  <c r="M33" i="2"/>
  <c r="I33" i="2"/>
  <c r="L33" i="2"/>
  <c r="H33" i="2"/>
  <c r="O33" i="2"/>
  <c r="K33" i="2"/>
  <c r="G33" i="2"/>
</calcChain>
</file>

<file path=xl/sharedStrings.xml><?xml version="1.0" encoding="utf-8"?>
<sst xmlns="http://schemas.openxmlformats.org/spreadsheetml/2006/main" count="75" uniqueCount="26">
  <si>
    <t>Account</t>
  </si>
  <si>
    <t>Net</t>
  </si>
  <si>
    <t>Period</t>
  </si>
  <si>
    <t>Negotiation</t>
  </si>
  <si>
    <t>Delivery</t>
  </si>
  <si>
    <t>Ticket Price</t>
  </si>
  <si>
    <t>Price Signal</t>
  </si>
  <si>
    <t>Reference</t>
  </si>
  <si>
    <t>Buyer</t>
  </si>
  <si>
    <t>Seller</t>
  </si>
  <si>
    <t>Ticket Increment</t>
  </si>
  <si>
    <t>Ticket Balance</t>
  </si>
  <si>
    <t>Buyer 1</t>
  </si>
  <si>
    <t>Buyer 2</t>
  </si>
  <si>
    <t>Ticket Price B</t>
  </si>
  <si>
    <t>Ticket Price A</t>
  </si>
  <si>
    <t>Sell</t>
  </si>
  <si>
    <t>Seller 2</t>
  </si>
  <si>
    <t>Seller 1</t>
  </si>
  <si>
    <t>Initial Margin</t>
  </si>
  <si>
    <t>Signal</t>
  </si>
  <si>
    <t>Type</t>
  </si>
  <si>
    <t>Quantity</t>
  </si>
  <si>
    <t>Price</t>
  </si>
  <si>
    <t>Agent</t>
  </si>
  <si>
    <t>Cancel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</si>
</sst>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/>
    <xf numFmtId="0" fontId="1" fillId="3" borderId="7" xfId="0" applyFont="1" applyFill="1" applyBorder="1"/>
    <xf numFmtId="0" fontId="1" fillId="3" borderId="9" xfId="0" applyFont="1" applyFill="1" applyBorder="1"/>
    <xf numFmtId="0" fontId="1" fillId="3" borderId="11" xfId="0" applyFont="1" applyFill="1" applyBorder="1" applyAlignment="1">
      <alignment horizontal="left"/>
    </xf>
    <xf numFmtId="0" fontId="0" fillId="4" borderId="8" xfId="0" applyFill="1" applyBorder="1" applyAlignment="1">
      <alignment horizontal="right"/>
    </xf>
    <xf numFmtId="0" fontId="0" fillId="4" borderId="10" xfId="0" applyFill="1" applyBorder="1" applyAlignment="1">
      <alignment horizontal="right"/>
    </xf>
    <xf numFmtId="0" fontId="0" fillId="4" borderId="12" xfId="0" applyFill="1" applyBorder="1" applyAlignment="1">
      <alignment horizontal="right"/>
    </xf>
    <xf numFmtId="0" fontId="0" fillId="0" borderId="5" xfId="0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5" xfId="0" applyFill="1" applyBorder="1"/>
    <xf numFmtId="0" fontId="0" fillId="0" borderId="7" xfId="0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4" borderId="14" xfId="0" applyFill="1" applyBorder="1"/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5" xfId="0" applyFont="1" applyFill="1" applyBorder="1"/>
    <xf numFmtId="0" fontId="0" fillId="5" borderId="6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2" borderId="2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2" xfId="0" applyFill="1" applyBorder="1" applyAlignment="1">
      <alignment horizontal="left"/>
    </xf>
    <xf numFmtId="0" fontId="0" fillId="2" borderId="4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C36A-7AE0-43C3-91F0-7E7FDF9D1E27}">
  <sheetPr codeName="Hoja2"/>
  <dimension ref="A1:B24"/>
  <sheetViews>
    <sheetView tabSelected="1" workbookViewId="0">
      <selection activeCell="G11" sqref="G11"/>
    </sheetView>
  </sheetViews>
  <sheetFormatPr baseColWidth="10" defaultRowHeight="15" x14ac:dyDescent="0.25"/>
  <sheetData>
    <row r="1" spans="1:2" x14ac:dyDescent="0.25">
      <c r="A1" t="s">
        <v>20</v>
      </c>
      <c r="B1" t="s">
        <v>2</v>
      </c>
    </row>
    <row r="2" spans="1:2" x14ac:dyDescent="0.25">
      <c r="A2">
        <f>+IF('Case A'!F14="","",'Case A'!F14)</f>
        <v>50</v>
      </c>
      <c r="B2" t="str">
        <f>+IF('Case A'!E14="","",'Case A'!E14)</f>
        <v>Negotiation</v>
      </c>
    </row>
    <row r="3" spans="1:2" x14ac:dyDescent="0.25">
      <c r="A3">
        <f>+IF('Case A'!F15="","",'Case A'!F15)</f>
        <v>50</v>
      </c>
      <c r="B3" t="str">
        <f>+IF('Case A'!E15="","",'Case A'!E15)</f>
        <v>Negotiation</v>
      </c>
    </row>
    <row r="4" spans="1:2" x14ac:dyDescent="0.25">
      <c r="A4">
        <f>+IF('Case A'!F16="","",'Case A'!F16)</f>
        <v>55</v>
      </c>
      <c r="B4" t="str">
        <f>+IF('Case A'!E16="","",'Case A'!E16)</f>
        <v>Negotiation</v>
      </c>
    </row>
    <row r="5" spans="1:2" x14ac:dyDescent="0.25">
      <c r="A5">
        <f>+IF('Case A'!F17="","",'Case A'!F17)</f>
        <v>51</v>
      </c>
      <c r="B5" t="str">
        <f>+IF('Case A'!E17="","",'Case A'!E17)</f>
        <v>Delivery</v>
      </c>
    </row>
    <row r="6" spans="1:2" x14ac:dyDescent="0.25">
      <c r="A6">
        <f>+IF('Case A'!F18="","",'Case A'!F18)</f>
        <v>51</v>
      </c>
      <c r="B6" t="str">
        <f>+IF('Case A'!E18="","",'Case A'!E18)</f>
        <v>Delivery</v>
      </c>
    </row>
    <row r="7" spans="1:2" x14ac:dyDescent="0.25">
      <c r="A7">
        <f>+IF('Case A'!F19="","",'Case A'!F19)</f>
        <v>49</v>
      </c>
      <c r="B7" t="str">
        <f>+IF('Case A'!E19="","",'Case A'!E19)</f>
        <v>Delivery</v>
      </c>
    </row>
    <row r="8" spans="1:2" x14ac:dyDescent="0.25">
      <c r="A8" t="str">
        <f>+IF('Case A'!F20="","",'Case A'!F20)</f>
        <v/>
      </c>
      <c r="B8" t="str">
        <f>+IF('Case A'!E20="","",'Case A'!E20)</f>
        <v/>
      </c>
    </row>
    <row r="9" spans="1:2" x14ac:dyDescent="0.25">
      <c r="A9" t="str">
        <f>+IF('Case A'!F21="","",'Case A'!F21)</f>
        <v/>
      </c>
      <c r="B9" t="str">
        <f>+IF('Case A'!E21="","",'Case A'!E21)</f>
        <v/>
      </c>
    </row>
    <row r="10" spans="1:2" x14ac:dyDescent="0.25">
      <c r="A10" t="str">
        <f>+IF('Case A'!F22="","",'Case A'!F22)</f>
        <v/>
      </c>
      <c r="B10" t="str">
        <f>+IF('Case A'!E22="","",'Case A'!E22)</f>
        <v/>
      </c>
    </row>
    <row r="11" spans="1:2" x14ac:dyDescent="0.25">
      <c r="A11" t="str">
        <f>+IF('Case A'!F23="","",'Case A'!F23)</f>
        <v/>
      </c>
      <c r="B11" t="str">
        <f>+IF('Case A'!E23="","",'Case A'!E23)</f>
        <v/>
      </c>
    </row>
    <row r="12" spans="1:2" x14ac:dyDescent="0.25">
      <c r="A12" t="str">
        <f>+IF('Case A'!F24="","",'Case A'!F24)</f>
        <v/>
      </c>
      <c r="B12" t="str">
        <f>+IF('Case A'!E24="","",'Case A'!E24)</f>
        <v/>
      </c>
    </row>
    <row r="13" spans="1:2" x14ac:dyDescent="0.25">
      <c r="A13" t="str">
        <f>+IF('Case A'!F25="","",'Case A'!F25)</f>
        <v/>
      </c>
      <c r="B13" t="str">
        <f>+IF('Case A'!E25="","",'Case A'!E25)</f>
        <v/>
      </c>
    </row>
    <row r="14" spans="1:2" x14ac:dyDescent="0.25">
      <c r="A14" t="str">
        <f>+IF('Case A'!F26="","",'Case A'!F26)</f>
        <v/>
      </c>
    </row>
    <row r="15" spans="1:2" x14ac:dyDescent="0.25">
      <c r="A15" t="str">
        <f>+IF('Case A'!F27="","",'Case A'!F27)</f>
        <v/>
      </c>
    </row>
    <row r="16" spans="1:2" x14ac:dyDescent="0.25">
      <c r="A16" t="str">
        <f>+IF('Case A'!F28="","",'Case A'!F28)</f>
        <v/>
      </c>
    </row>
    <row r="17" spans="1:1" x14ac:dyDescent="0.25">
      <c r="A17" t="str">
        <f>+IF('Case A'!F29="","",'Case A'!F29)</f>
        <v/>
      </c>
    </row>
    <row r="18" spans="1:1" x14ac:dyDescent="0.25">
      <c r="A18" t="str">
        <f>+IF('Case A'!F30="","",'Case A'!F30)</f>
        <v/>
      </c>
    </row>
    <row r="19" spans="1:1" x14ac:dyDescent="0.25">
      <c r="A19" t="str">
        <f>+IF('Case A'!F31="","",'Case A'!F31)</f>
        <v/>
      </c>
    </row>
    <row r="20" spans="1:1" x14ac:dyDescent="0.25">
      <c r="A20" t="str">
        <f>+IF('Case A'!F32="","",'Case A'!F32)</f>
        <v/>
      </c>
    </row>
    <row r="21" spans="1:1" x14ac:dyDescent="0.25">
      <c r="A21" t="str">
        <f>+IF('Case A'!F33="","",'Case A'!F33)</f>
        <v/>
      </c>
    </row>
    <row r="22" spans="1:1" x14ac:dyDescent="0.25">
      <c r="A22" t="str">
        <f>+IF('Case A'!F34="","",'Case A'!F34)</f>
        <v/>
      </c>
    </row>
    <row r="23" spans="1:1" x14ac:dyDescent="0.25">
      <c r="A23" t="str">
        <f>+IF('Case A'!F35="","",'Case A'!F35)</f>
        <v/>
      </c>
    </row>
    <row r="24" spans="1:1" x14ac:dyDescent="0.25">
      <c r="A24" t="str">
        <f>+IF('Case A'!F36="","",'Case A'!F36)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08688-B333-4C92-B1E0-6CAAFB5CCC20}">
  <sheetPr codeName="Hoja5"/>
  <dimension ref="A1:E3"/>
  <sheetViews>
    <sheetView workbookViewId="0">
      <selection activeCell="G11" sqref="G11"/>
    </sheetView>
  </sheetViews>
  <sheetFormatPr baseColWidth="10" defaultRowHeight="15" x14ac:dyDescent="0.25"/>
  <sheetData>
    <row r="1" spans="1:5" x14ac:dyDescent="0.25">
      <c r="A1" t="s">
        <v>21</v>
      </c>
      <c r="B1" t="s">
        <v>22</v>
      </c>
      <c r="C1" t="s">
        <v>23</v>
      </c>
      <c r="D1" t="s">
        <v>24</v>
      </c>
      <c r="E1" t="s">
        <v>25</v>
      </c>
    </row>
    <row r="2" spans="1:5" x14ac:dyDescent="0.25">
      <c r="A2">
        <v>1</v>
      </c>
      <c r="B2">
        <v>1</v>
      </c>
      <c r="C2">
        <f>+'Case A'!$F$11</f>
        <v>50</v>
      </c>
      <c r="D2">
        <v>0</v>
      </c>
      <c r="E2">
        <v>0</v>
      </c>
    </row>
    <row r="3" spans="1:5" x14ac:dyDescent="0.25">
      <c r="A3">
        <v>0</v>
      </c>
      <c r="B3">
        <v>1</v>
      </c>
      <c r="C3">
        <f>+'Case A'!$F$11</f>
        <v>50</v>
      </c>
      <c r="D3">
        <v>1</v>
      </c>
      <c r="E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3513E-A29F-40AB-99A6-004D4A45A24C}">
  <sheetPr codeName="Hoja1"/>
  <dimension ref="D8:O35"/>
  <sheetViews>
    <sheetView topLeftCell="A6" workbookViewId="0">
      <selection activeCell="U19" sqref="U19"/>
    </sheetView>
  </sheetViews>
  <sheetFormatPr baseColWidth="10" defaultRowHeight="15" x14ac:dyDescent="0.25"/>
  <cols>
    <col min="4" max="4" width="2.85546875" hidden="1" customWidth="1"/>
    <col min="5" max="5" width="10.42578125" bestFit="1" customWidth="1"/>
    <col min="6" max="6" width="10.140625" bestFit="1" customWidth="1"/>
    <col min="7" max="7" width="9.140625" bestFit="1" customWidth="1"/>
    <col min="8" max="8" width="7.5703125" bestFit="1" customWidth="1"/>
    <col min="9" max="9" width="14.5703125" bestFit="1" customWidth="1"/>
    <col min="10" max="10" width="12.5703125" bestFit="1" customWidth="1"/>
    <col min="11" max="11" width="3.7109375" bestFit="1" customWidth="1"/>
    <col min="12" max="12" width="7.5703125" bestFit="1" customWidth="1"/>
    <col min="13" max="13" width="14.5703125" bestFit="1" customWidth="1"/>
    <col min="14" max="14" width="12.5703125" bestFit="1" customWidth="1"/>
    <col min="15" max="15" width="3.7109375" bestFit="1" customWidth="1"/>
  </cols>
  <sheetData>
    <row r="8" spans="4:15" ht="15.75" thickBot="1" x14ac:dyDescent="0.3"/>
    <row r="9" spans="4:15" x14ac:dyDescent="0.25">
      <c r="E9" s="5" t="s">
        <v>3</v>
      </c>
      <c r="F9" s="8">
        <v>3</v>
      </c>
    </row>
    <row r="10" spans="4:15" x14ac:dyDescent="0.25">
      <c r="E10" s="6" t="s">
        <v>4</v>
      </c>
      <c r="F10" s="9">
        <v>3</v>
      </c>
    </row>
    <row r="11" spans="4:15" ht="15.75" thickBot="1" x14ac:dyDescent="0.3">
      <c r="E11" s="7" t="s">
        <v>5</v>
      </c>
      <c r="F11" s="10">
        <v>50</v>
      </c>
      <c r="G11" s="1"/>
      <c r="H11" s="1"/>
      <c r="I11" s="1"/>
      <c r="J11" s="1"/>
      <c r="K11" s="1"/>
      <c r="L11" s="1"/>
      <c r="M11" s="1"/>
      <c r="N11" s="1"/>
    </row>
    <row r="12" spans="4:15" ht="15.75" thickBot="1" x14ac:dyDescent="0.3">
      <c r="E12" s="26" t="s">
        <v>2</v>
      </c>
      <c r="F12" s="27" t="s">
        <v>6</v>
      </c>
      <c r="G12" s="29" t="s">
        <v>7</v>
      </c>
      <c r="H12" s="30" t="s">
        <v>8</v>
      </c>
      <c r="I12" s="31"/>
      <c r="J12" s="31"/>
      <c r="K12" s="32"/>
      <c r="L12" s="30" t="s">
        <v>9</v>
      </c>
      <c r="M12" s="31"/>
      <c r="N12" s="31"/>
      <c r="O12" s="32"/>
    </row>
    <row r="13" spans="4:15" ht="15.75" thickBot="1" x14ac:dyDescent="0.3">
      <c r="E13" s="26"/>
      <c r="F13" s="28"/>
      <c r="G13" s="26"/>
      <c r="H13" s="24" t="s">
        <v>0</v>
      </c>
      <c r="I13" s="24" t="s">
        <v>10</v>
      </c>
      <c r="J13" s="24" t="s">
        <v>11</v>
      </c>
      <c r="K13" s="24" t="s">
        <v>1</v>
      </c>
      <c r="L13" s="24" t="s">
        <v>0</v>
      </c>
      <c r="M13" s="24" t="s">
        <v>10</v>
      </c>
      <c r="N13" s="24" t="s">
        <v>11</v>
      </c>
      <c r="O13" s="24" t="s">
        <v>1</v>
      </c>
    </row>
    <row r="14" spans="4:15" x14ac:dyDescent="0.25">
      <c r="D14" s="1">
        <f>1</f>
        <v>1</v>
      </c>
      <c r="E14" s="14" t="str">
        <f t="shared" ref="E14:E33" si="0">+IF(D14&lt;=$F$9,"Negotiation",IF(D14&lt;=($F$9+$F$10),"Delivery",""))</f>
        <v>Negotiation</v>
      </c>
      <c r="F14" s="15">
        <v>50</v>
      </c>
      <c r="G14" s="16">
        <f t="shared" ref="G14:G33" si="1">+IF(D14&lt;=($F$9+$F$10),IF(E13="Negotiation",F13,$F$11),"")</f>
        <v>50</v>
      </c>
      <c r="H14" s="16">
        <f>+IF(D14&lt;=($F$9+$F$10),-TRUNC($F$11/5),"")</f>
        <v>-10</v>
      </c>
      <c r="I14" s="16">
        <f>+IF($D14&lt;=($F$9+$F$10),+$F14-$G14,"")</f>
        <v>0</v>
      </c>
      <c r="J14" s="16">
        <f>-H14+I14</f>
        <v>10</v>
      </c>
      <c r="K14" s="16">
        <f>+IF($D14&lt;=($F$9+$F$10),H14+J14,"")</f>
        <v>0</v>
      </c>
      <c r="L14" s="16">
        <f>+IF(D14&lt;=($F$9+$F$10),-TRUNC($F$11/5),"")</f>
        <v>-10</v>
      </c>
      <c r="M14" s="16">
        <f>+IF($D14&lt;=($F$9+$F$10),-$F14+$G14,"")</f>
        <v>0</v>
      </c>
      <c r="N14" s="16">
        <f>-L14+M14</f>
        <v>10</v>
      </c>
      <c r="O14" s="17">
        <f>+IF($D14&lt;=($F$9+$F$10),L14+N14,"")</f>
        <v>0</v>
      </c>
    </row>
    <row r="15" spans="4:15" x14ac:dyDescent="0.25">
      <c r="D15" s="1">
        <f>1+D14</f>
        <v>2</v>
      </c>
      <c r="E15" s="18" t="str">
        <f t="shared" si="0"/>
        <v>Negotiation</v>
      </c>
      <c r="F15" s="12">
        <v>50</v>
      </c>
      <c r="G15" s="11">
        <f t="shared" si="1"/>
        <v>50</v>
      </c>
      <c r="H15" s="11">
        <f t="shared" ref="H15:H33" si="2">+IF(D15&lt;=($F$9+$F$10),-TRUNC($F$11/5),"")</f>
        <v>-10</v>
      </c>
      <c r="I15" s="11">
        <f t="shared" ref="I15:I33" si="3">+IF($D15&lt;=($F$9+$F$10),+$F15-$G15,"")</f>
        <v>0</v>
      </c>
      <c r="J15" s="11">
        <f>+IF($D15&lt;=($F$9+$F$10),J14+I15,"")</f>
        <v>10</v>
      </c>
      <c r="K15" s="11">
        <f t="shared" ref="K15:K33" si="4">+IF($D15&lt;=($F$9+$F$10),H15+J15,"")</f>
        <v>0</v>
      </c>
      <c r="L15" s="11">
        <f t="shared" ref="L15:L33" si="5">+IF(D15&lt;=($F$9+$F$10),-TRUNC($F$11/5),"")</f>
        <v>-10</v>
      </c>
      <c r="M15" s="11">
        <f t="shared" ref="M15:M33" si="6">+IF($D15&lt;=($F$9+$F$10),-$F15+$G15,"")</f>
        <v>0</v>
      </c>
      <c r="N15" s="11">
        <f>+IF($D15&lt;=($F$9+$F$10),N14+M15,"")</f>
        <v>10</v>
      </c>
      <c r="O15" s="19">
        <f t="shared" ref="O15:O33" si="7">+IF($D15&lt;=($F$9+$F$10),L15+N15,"")</f>
        <v>0</v>
      </c>
    </row>
    <row r="16" spans="4:15" x14ac:dyDescent="0.25">
      <c r="D16" s="1">
        <f t="shared" ref="D16:D33" si="8">1+D15</f>
        <v>3</v>
      </c>
      <c r="E16" s="18" t="str">
        <f t="shared" si="0"/>
        <v>Negotiation</v>
      </c>
      <c r="F16" s="12">
        <v>55</v>
      </c>
      <c r="G16" s="11">
        <f t="shared" si="1"/>
        <v>50</v>
      </c>
      <c r="H16" s="11">
        <f t="shared" si="2"/>
        <v>-10</v>
      </c>
      <c r="I16" s="11">
        <f t="shared" si="3"/>
        <v>5</v>
      </c>
      <c r="J16" s="11">
        <f t="shared" ref="J16:J33" si="9">+IF($D16&lt;=($F$9+$F$10),J15+I16,"")</f>
        <v>15</v>
      </c>
      <c r="K16" s="11">
        <f t="shared" si="4"/>
        <v>5</v>
      </c>
      <c r="L16" s="11">
        <f t="shared" si="5"/>
        <v>-10</v>
      </c>
      <c r="M16" s="11">
        <f t="shared" si="6"/>
        <v>-5</v>
      </c>
      <c r="N16" s="11">
        <f t="shared" ref="N16:N33" si="10">+IF($D16&lt;=($F$9+$F$10),N15+M16,"")</f>
        <v>5</v>
      </c>
      <c r="O16" s="19">
        <f t="shared" si="7"/>
        <v>-5</v>
      </c>
    </row>
    <row r="17" spans="4:15" x14ac:dyDescent="0.25">
      <c r="D17" s="1">
        <f t="shared" si="8"/>
        <v>4</v>
      </c>
      <c r="E17" s="18" t="str">
        <f t="shared" si="0"/>
        <v>Delivery</v>
      </c>
      <c r="F17" s="12">
        <v>51</v>
      </c>
      <c r="G17" s="11">
        <f t="shared" si="1"/>
        <v>55</v>
      </c>
      <c r="H17" s="11">
        <f t="shared" si="2"/>
        <v>-10</v>
      </c>
      <c r="I17" s="11">
        <f t="shared" si="3"/>
        <v>-4</v>
      </c>
      <c r="J17" s="11">
        <f t="shared" si="9"/>
        <v>11</v>
      </c>
      <c r="K17" s="11">
        <f t="shared" si="4"/>
        <v>1</v>
      </c>
      <c r="L17" s="11">
        <f t="shared" si="5"/>
        <v>-10</v>
      </c>
      <c r="M17" s="11">
        <f t="shared" si="6"/>
        <v>4</v>
      </c>
      <c r="N17" s="11">
        <f t="shared" si="10"/>
        <v>9</v>
      </c>
      <c r="O17" s="19">
        <f t="shared" si="7"/>
        <v>-1</v>
      </c>
    </row>
    <row r="18" spans="4:15" x14ac:dyDescent="0.25">
      <c r="D18" s="1">
        <f t="shared" si="8"/>
        <v>5</v>
      </c>
      <c r="E18" s="18" t="str">
        <f t="shared" si="0"/>
        <v>Delivery</v>
      </c>
      <c r="F18" s="12">
        <v>51</v>
      </c>
      <c r="G18" s="11">
        <f t="shared" si="1"/>
        <v>50</v>
      </c>
      <c r="H18" s="11">
        <f t="shared" si="2"/>
        <v>-10</v>
      </c>
      <c r="I18" s="11">
        <f t="shared" si="3"/>
        <v>1</v>
      </c>
      <c r="J18" s="11">
        <f t="shared" si="9"/>
        <v>12</v>
      </c>
      <c r="K18" s="11">
        <f t="shared" si="4"/>
        <v>2</v>
      </c>
      <c r="L18" s="11">
        <f t="shared" si="5"/>
        <v>-10</v>
      </c>
      <c r="M18" s="11">
        <f t="shared" si="6"/>
        <v>-1</v>
      </c>
      <c r="N18" s="11">
        <f t="shared" si="10"/>
        <v>8</v>
      </c>
      <c r="O18" s="19">
        <f t="shared" si="7"/>
        <v>-2</v>
      </c>
    </row>
    <row r="19" spans="4:15" x14ac:dyDescent="0.25">
      <c r="D19" s="1">
        <f t="shared" si="8"/>
        <v>6</v>
      </c>
      <c r="E19" s="18" t="str">
        <f t="shared" si="0"/>
        <v>Delivery</v>
      </c>
      <c r="F19" s="12">
        <v>49</v>
      </c>
      <c r="G19" s="11">
        <f t="shared" si="1"/>
        <v>50</v>
      </c>
      <c r="H19" s="11">
        <f t="shared" si="2"/>
        <v>-10</v>
      </c>
      <c r="I19" s="11">
        <f t="shared" si="3"/>
        <v>-1</v>
      </c>
      <c r="J19" s="11">
        <f t="shared" si="9"/>
        <v>11</v>
      </c>
      <c r="K19" s="11">
        <f t="shared" si="4"/>
        <v>1</v>
      </c>
      <c r="L19" s="11">
        <f t="shared" si="5"/>
        <v>-10</v>
      </c>
      <c r="M19" s="11">
        <f t="shared" si="6"/>
        <v>1</v>
      </c>
      <c r="N19" s="11">
        <f t="shared" si="10"/>
        <v>9</v>
      </c>
      <c r="O19" s="19">
        <f t="shared" si="7"/>
        <v>-1</v>
      </c>
    </row>
    <row r="20" spans="4:15" x14ac:dyDescent="0.25">
      <c r="D20" s="1">
        <f t="shared" si="8"/>
        <v>7</v>
      </c>
      <c r="E20" s="18" t="str">
        <f t="shared" si="0"/>
        <v/>
      </c>
      <c r="F20" s="12"/>
      <c r="G20" s="11" t="str">
        <f t="shared" si="1"/>
        <v/>
      </c>
      <c r="H20" s="11" t="str">
        <f t="shared" si="2"/>
        <v/>
      </c>
      <c r="I20" s="11" t="str">
        <f t="shared" si="3"/>
        <v/>
      </c>
      <c r="J20" s="11" t="str">
        <f t="shared" si="9"/>
        <v/>
      </c>
      <c r="K20" s="11" t="str">
        <f t="shared" si="4"/>
        <v/>
      </c>
      <c r="L20" s="11" t="str">
        <f t="shared" si="5"/>
        <v/>
      </c>
      <c r="M20" s="11" t="str">
        <f t="shared" si="6"/>
        <v/>
      </c>
      <c r="N20" s="11" t="str">
        <f t="shared" si="10"/>
        <v/>
      </c>
      <c r="O20" s="19" t="str">
        <f t="shared" si="7"/>
        <v/>
      </c>
    </row>
    <row r="21" spans="4:15" x14ac:dyDescent="0.25">
      <c r="D21" s="1">
        <f t="shared" si="8"/>
        <v>8</v>
      </c>
      <c r="E21" s="18" t="str">
        <f t="shared" si="0"/>
        <v/>
      </c>
      <c r="F21" s="12"/>
      <c r="G21" s="11" t="str">
        <f t="shared" si="1"/>
        <v/>
      </c>
      <c r="H21" s="11" t="str">
        <f t="shared" si="2"/>
        <v/>
      </c>
      <c r="I21" s="11" t="str">
        <f t="shared" si="3"/>
        <v/>
      </c>
      <c r="J21" s="11" t="str">
        <f t="shared" si="9"/>
        <v/>
      </c>
      <c r="K21" s="11" t="str">
        <f t="shared" si="4"/>
        <v/>
      </c>
      <c r="L21" s="11" t="str">
        <f t="shared" si="5"/>
        <v/>
      </c>
      <c r="M21" s="11" t="str">
        <f t="shared" si="6"/>
        <v/>
      </c>
      <c r="N21" s="11" t="str">
        <f t="shared" si="10"/>
        <v/>
      </c>
      <c r="O21" s="19" t="str">
        <f t="shared" si="7"/>
        <v/>
      </c>
    </row>
    <row r="22" spans="4:15" x14ac:dyDescent="0.25">
      <c r="D22" s="1">
        <f t="shared" si="8"/>
        <v>9</v>
      </c>
      <c r="E22" s="18" t="str">
        <f t="shared" si="0"/>
        <v/>
      </c>
      <c r="F22" s="12"/>
      <c r="G22" s="11" t="str">
        <f t="shared" si="1"/>
        <v/>
      </c>
      <c r="H22" s="11" t="str">
        <f t="shared" si="2"/>
        <v/>
      </c>
      <c r="I22" s="11" t="str">
        <f t="shared" si="3"/>
        <v/>
      </c>
      <c r="J22" s="11" t="str">
        <f t="shared" si="9"/>
        <v/>
      </c>
      <c r="K22" s="11" t="str">
        <f t="shared" si="4"/>
        <v/>
      </c>
      <c r="L22" s="11" t="str">
        <f t="shared" si="5"/>
        <v/>
      </c>
      <c r="M22" s="11" t="str">
        <f t="shared" si="6"/>
        <v/>
      </c>
      <c r="N22" s="11" t="str">
        <f t="shared" si="10"/>
        <v/>
      </c>
      <c r="O22" s="19" t="str">
        <f t="shared" si="7"/>
        <v/>
      </c>
    </row>
    <row r="23" spans="4:15" x14ac:dyDescent="0.25">
      <c r="D23" s="1">
        <f t="shared" si="8"/>
        <v>10</v>
      </c>
      <c r="E23" s="18" t="str">
        <f t="shared" si="0"/>
        <v/>
      </c>
      <c r="F23" s="12"/>
      <c r="G23" s="11" t="str">
        <f t="shared" si="1"/>
        <v/>
      </c>
      <c r="H23" s="11" t="str">
        <f t="shared" si="2"/>
        <v/>
      </c>
      <c r="I23" s="11" t="str">
        <f t="shared" si="3"/>
        <v/>
      </c>
      <c r="J23" s="11" t="str">
        <f t="shared" si="9"/>
        <v/>
      </c>
      <c r="K23" s="11" t="str">
        <f t="shared" si="4"/>
        <v/>
      </c>
      <c r="L23" s="11" t="str">
        <f t="shared" si="5"/>
        <v/>
      </c>
      <c r="M23" s="11" t="str">
        <f t="shared" si="6"/>
        <v/>
      </c>
      <c r="N23" s="11" t="str">
        <f t="shared" si="10"/>
        <v/>
      </c>
      <c r="O23" s="19" t="str">
        <f t="shared" si="7"/>
        <v/>
      </c>
    </row>
    <row r="24" spans="4:15" x14ac:dyDescent="0.25">
      <c r="D24" s="1">
        <f t="shared" si="8"/>
        <v>11</v>
      </c>
      <c r="E24" s="18" t="str">
        <f t="shared" si="0"/>
        <v/>
      </c>
      <c r="F24" s="13"/>
      <c r="G24" s="11" t="str">
        <f t="shared" si="1"/>
        <v/>
      </c>
      <c r="H24" s="11" t="str">
        <f t="shared" si="2"/>
        <v/>
      </c>
      <c r="I24" s="11" t="str">
        <f t="shared" si="3"/>
        <v/>
      </c>
      <c r="J24" s="11" t="str">
        <f t="shared" si="9"/>
        <v/>
      </c>
      <c r="K24" s="11" t="str">
        <f t="shared" si="4"/>
        <v/>
      </c>
      <c r="L24" s="11" t="str">
        <f t="shared" si="5"/>
        <v/>
      </c>
      <c r="M24" s="11" t="str">
        <f t="shared" si="6"/>
        <v/>
      </c>
      <c r="N24" s="11" t="str">
        <f t="shared" si="10"/>
        <v/>
      </c>
      <c r="O24" s="19" t="str">
        <f t="shared" si="7"/>
        <v/>
      </c>
    </row>
    <row r="25" spans="4:15" x14ac:dyDescent="0.25">
      <c r="D25" s="1">
        <f t="shared" si="8"/>
        <v>12</v>
      </c>
      <c r="E25" s="18" t="str">
        <f t="shared" si="0"/>
        <v/>
      </c>
      <c r="F25" s="13"/>
      <c r="G25" s="11" t="str">
        <f t="shared" si="1"/>
        <v/>
      </c>
      <c r="H25" s="11" t="str">
        <f t="shared" si="2"/>
        <v/>
      </c>
      <c r="I25" s="11" t="str">
        <f t="shared" si="3"/>
        <v/>
      </c>
      <c r="J25" s="11" t="str">
        <f t="shared" si="9"/>
        <v/>
      </c>
      <c r="K25" s="11" t="str">
        <f t="shared" si="4"/>
        <v/>
      </c>
      <c r="L25" s="11" t="str">
        <f t="shared" si="5"/>
        <v/>
      </c>
      <c r="M25" s="11" t="str">
        <f t="shared" si="6"/>
        <v/>
      </c>
      <c r="N25" s="11" t="str">
        <f t="shared" si="10"/>
        <v/>
      </c>
      <c r="O25" s="19" t="str">
        <f t="shared" si="7"/>
        <v/>
      </c>
    </row>
    <row r="26" spans="4:15" x14ac:dyDescent="0.25">
      <c r="D26" s="1">
        <f t="shared" si="8"/>
        <v>13</v>
      </c>
      <c r="E26" s="18" t="str">
        <f t="shared" si="0"/>
        <v/>
      </c>
      <c r="F26" s="13"/>
      <c r="G26" s="11" t="str">
        <f t="shared" si="1"/>
        <v/>
      </c>
      <c r="H26" s="11" t="str">
        <f t="shared" si="2"/>
        <v/>
      </c>
      <c r="I26" s="11" t="str">
        <f t="shared" si="3"/>
        <v/>
      </c>
      <c r="J26" s="11" t="str">
        <f t="shared" si="9"/>
        <v/>
      </c>
      <c r="K26" s="11" t="str">
        <f t="shared" si="4"/>
        <v/>
      </c>
      <c r="L26" s="11" t="str">
        <f t="shared" si="5"/>
        <v/>
      </c>
      <c r="M26" s="11" t="str">
        <f t="shared" si="6"/>
        <v/>
      </c>
      <c r="N26" s="11" t="str">
        <f t="shared" si="10"/>
        <v/>
      </c>
      <c r="O26" s="19" t="str">
        <f t="shared" si="7"/>
        <v/>
      </c>
    </row>
    <row r="27" spans="4:15" x14ac:dyDescent="0.25">
      <c r="D27" s="1">
        <f t="shared" si="8"/>
        <v>14</v>
      </c>
      <c r="E27" s="18" t="str">
        <f t="shared" si="0"/>
        <v/>
      </c>
      <c r="F27" s="13"/>
      <c r="G27" s="11" t="str">
        <f t="shared" si="1"/>
        <v/>
      </c>
      <c r="H27" s="11" t="str">
        <f t="shared" si="2"/>
        <v/>
      </c>
      <c r="I27" s="11" t="str">
        <f t="shared" si="3"/>
        <v/>
      </c>
      <c r="J27" s="11" t="str">
        <f t="shared" si="9"/>
        <v/>
      </c>
      <c r="K27" s="11" t="str">
        <f t="shared" si="4"/>
        <v/>
      </c>
      <c r="L27" s="11" t="str">
        <f t="shared" si="5"/>
        <v/>
      </c>
      <c r="M27" s="11" t="str">
        <f t="shared" si="6"/>
        <v/>
      </c>
      <c r="N27" s="11" t="str">
        <f t="shared" si="10"/>
        <v/>
      </c>
      <c r="O27" s="19" t="str">
        <f t="shared" si="7"/>
        <v/>
      </c>
    </row>
    <row r="28" spans="4:15" x14ac:dyDescent="0.25">
      <c r="D28" s="1">
        <f t="shared" si="8"/>
        <v>15</v>
      </c>
      <c r="E28" s="18" t="str">
        <f t="shared" si="0"/>
        <v/>
      </c>
      <c r="F28" s="13"/>
      <c r="G28" s="11" t="str">
        <f t="shared" si="1"/>
        <v/>
      </c>
      <c r="H28" s="11" t="str">
        <f t="shared" si="2"/>
        <v/>
      </c>
      <c r="I28" s="11" t="str">
        <f t="shared" si="3"/>
        <v/>
      </c>
      <c r="J28" s="11" t="str">
        <f t="shared" si="9"/>
        <v/>
      </c>
      <c r="K28" s="11" t="str">
        <f t="shared" si="4"/>
        <v/>
      </c>
      <c r="L28" s="11" t="str">
        <f t="shared" si="5"/>
        <v/>
      </c>
      <c r="M28" s="11" t="str">
        <f t="shared" si="6"/>
        <v/>
      </c>
      <c r="N28" s="11" t="str">
        <f t="shared" si="10"/>
        <v/>
      </c>
      <c r="O28" s="19" t="str">
        <f t="shared" si="7"/>
        <v/>
      </c>
    </row>
    <row r="29" spans="4:15" x14ac:dyDescent="0.25">
      <c r="D29" s="1">
        <f t="shared" si="8"/>
        <v>16</v>
      </c>
      <c r="E29" s="18" t="str">
        <f t="shared" si="0"/>
        <v/>
      </c>
      <c r="F29" s="13"/>
      <c r="G29" s="11" t="str">
        <f t="shared" si="1"/>
        <v/>
      </c>
      <c r="H29" s="11" t="str">
        <f t="shared" si="2"/>
        <v/>
      </c>
      <c r="I29" s="11" t="str">
        <f t="shared" si="3"/>
        <v/>
      </c>
      <c r="J29" s="11" t="str">
        <f t="shared" si="9"/>
        <v/>
      </c>
      <c r="K29" s="11" t="str">
        <f t="shared" si="4"/>
        <v/>
      </c>
      <c r="L29" s="11" t="str">
        <f t="shared" si="5"/>
        <v/>
      </c>
      <c r="M29" s="11" t="str">
        <f t="shared" si="6"/>
        <v/>
      </c>
      <c r="N29" s="11" t="str">
        <f t="shared" si="10"/>
        <v/>
      </c>
      <c r="O29" s="19" t="str">
        <f t="shared" si="7"/>
        <v/>
      </c>
    </row>
    <row r="30" spans="4:15" x14ac:dyDescent="0.25">
      <c r="D30" s="1">
        <f t="shared" si="8"/>
        <v>17</v>
      </c>
      <c r="E30" s="18" t="str">
        <f t="shared" si="0"/>
        <v/>
      </c>
      <c r="F30" s="13"/>
      <c r="G30" s="11" t="str">
        <f t="shared" si="1"/>
        <v/>
      </c>
      <c r="H30" s="11" t="str">
        <f t="shared" si="2"/>
        <v/>
      </c>
      <c r="I30" s="11" t="str">
        <f t="shared" si="3"/>
        <v/>
      </c>
      <c r="J30" s="11" t="str">
        <f t="shared" si="9"/>
        <v/>
      </c>
      <c r="K30" s="11" t="str">
        <f t="shared" si="4"/>
        <v/>
      </c>
      <c r="L30" s="11" t="str">
        <f t="shared" si="5"/>
        <v/>
      </c>
      <c r="M30" s="11" t="str">
        <f t="shared" si="6"/>
        <v/>
      </c>
      <c r="N30" s="11" t="str">
        <f t="shared" si="10"/>
        <v/>
      </c>
      <c r="O30" s="19" t="str">
        <f t="shared" si="7"/>
        <v/>
      </c>
    </row>
    <row r="31" spans="4:15" x14ac:dyDescent="0.25">
      <c r="D31" s="1">
        <f t="shared" si="8"/>
        <v>18</v>
      </c>
      <c r="E31" s="18" t="str">
        <f t="shared" si="0"/>
        <v/>
      </c>
      <c r="F31" s="13"/>
      <c r="G31" s="11" t="str">
        <f t="shared" si="1"/>
        <v/>
      </c>
      <c r="H31" s="11" t="str">
        <f t="shared" si="2"/>
        <v/>
      </c>
      <c r="I31" s="11" t="str">
        <f t="shared" si="3"/>
        <v/>
      </c>
      <c r="J31" s="11" t="str">
        <f t="shared" si="9"/>
        <v/>
      </c>
      <c r="K31" s="11" t="str">
        <f t="shared" si="4"/>
        <v/>
      </c>
      <c r="L31" s="11" t="str">
        <f t="shared" si="5"/>
        <v/>
      </c>
      <c r="M31" s="11" t="str">
        <f t="shared" si="6"/>
        <v/>
      </c>
      <c r="N31" s="11" t="str">
        <f t="shared" si="10"/>
        <v/>
      </c>
      <c r="O31" s="19" t="str">
        <f t="shared" si="7"/>
        <v/>
      </c>
    </row>
    <row r="32" spans="4:15" x14ac:dyDescent="0.25">
      <c r="D32" s="1">
        <f t="shared" si="8"/>
        <v>19</v>
      </c>
      <c r="E32" s="18" t="str">
        <f t="shared" si="0"/>
        <v/>
      </c>
      <c r="F32" s="13"/>
      <c r="G32" s="11" t="str">
        <f t="shared" si="1"/>
        <v/>
      </c>
      <c r="H32" s="11" t="str">
        <f t="shared" si="2"/>
        <v/>
      </c>
      <c r="I32" s="11" t="str">
        <f t="shared" si="3"/>
        <v/>
      </c>
      <c r="J32" s="11" t="str">
        <f t="shared" si="9"/>
        <v/>
      </c>
      <c r="K32" s="11" t="str">
        <f t="shared" si="4"/>
        <v/>
      </c>
      <c r="L32" s="11" t="str">
        <f t="shared" si="5"/>
        <v/>
      </c>
      <c r="M32" s="11" t="str">
        <f t="shared" si="6"/>
        <v/>
      </c>
      <c r="N32" s="11" t="str">
        <f t="shared" si="10"/>
        <v/>
      </c>
      <c r="O32" s="19" t="str">
        <f t="shared" si="7"/>
        <v/>
      </c>
    </row>
    <row r="33" spans="4:15" ht="15.75" thickBot="1" x14ac:dyDescent="0.3">
      <c r="D33" s="1">
        <f t="shared" si="8"/>
        <v>20</v>
      </c>
      <c r="E33" s="20" t="str">
        <f t="shared" si="0"/>
        <v/>
      </c>
      <c r="F33" s="21"/>
      <c r="G33" s="22" t="str">
        <f t="shared" si="1"/>
        <v/>
      </c>
      <c r="H33" s="22" t="str">
        <f t="shared" si="2"/>
        <v/>
      </c>
      <c r="I33" s="22" t="str">
        <f t="shared" si="3"/>
        <v/>
      </c>
      <c r="J33" s="22" t="str">
        <f t="shared" si="9"/>
        <v/>
      </c>
      <c r="K33" s="22" t="str">
        <f t="shared" si="4"/>
        <v/>
      </c>
      <c r="L33" s="22" t="str">
        <f t="shared" si="5"/>
        <v/>
      </c>
      <c r="M33" s="22" t="str">
        <f t="shared" si="6"/>
        <v/>
      </c>
      <c r="N33" s="22" t="str">
        <f t="shared" si="10"/>
        <v/>
      </c>
      <c r="O33" s="23" t="str">
        <f t="shared" si="7"/>
        <v/>
      </c>
    </row>
    <row r="34" spans="4:15" x14ac:dyDescent="0.25">
      <c r="E34" s="1"/>
      <c r="I34" s="2"/>
      <c r="J34" s="3"/>
      <c r="K34" s="3"/>
      <c r="L34" s="1"/>
      <c r="M34" s="2"/>
      <c r="N34" s="4"/>
    </row>
    <row r="35" spans="4:15" x14ac:dyDescent="0.25">
      <c r="E35" s="1"/>
    </row>
  </sheetData>
  <mergeCells count="5">
    <mergeCell ref="E12:E13"/>
    <mergeCell ref="F12:F13"/>
    <mergeCell ref="G12:G13"/>
    <mergeCell ref="H12:K12"/>
    <mergeCell ref="L12:O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F071B-8C0E-4286-95AD-FD74FA730893}">
  <sheetPr codeName="Hoja3"/>
  <dimension ref="D6:S35"/>
  <sheetViews>
    <sheetView topLeftCell="B4" zoomScale="90" zoomScaleNormal="90" workbookViewId="0">
      <selection activeCell="F18" sqref="F18"/>
    </sheetView>
  </sheetViews>
  <sheetFormatPr baseColWidth="10" defaultRowHeight="15" x14ac:dyDescent="0.25"/>
  <cols>
    <col min="4" max="4" width="2.85546875" hidden="1" customWidth="1"/>
    <col min="5" max="5" width="12" bestFit="1" customWidth="1"/>
    <col min="6" max="6" width="10.140625" bestFit="1" customWidth="1"/>
    <col min="7" max="7" width="9.140625" bestFit="1" customWidth="1"/>
    <col min="8" max="8" width="7.5703125" bestFit="1" customWidth="1"/>
    <col min="9" max="9" width="14.5703125" bestFit="1" customWidth="1"/>
    <col min="10" max="10" width="12.5703125" bestFit="1" customWidth="1"/>
    <col min="11" max="11" width="3.7109375" bestFit="1" customWidth="1"/>
    <col min="12" max="12" width="7.5703125" bestFit="1" customWidth="1"/>
    <col min="13" max="13" width="14.5703125" bestFit="1" customWidth="1"/>
    <col min="14" max="14" width="12.5703125" bestFit="1" customWidth="1"/>
    <col min="15" max="15" width="3.7109375" bestFit="1" customWidth="1"/>
    <col min="16" max="16" width="7.5703125" bestFit="1" customWidth="1"/>
    <col min="17" max="17" width="14.5703125" bestFit="1" customWidth="1"/>
    <col min="18" max="18" width="12.5703125" bestFit="1" customWidth="1"/>
    <col min="19" max="19" width="8.85546875" bestFit="1" customWidth="1"/>
  </cols>
  <sheetData>
    <row r="6" spans="4:19" ht="15.75" thickBot="1" x14ac:dyDescent="0.3"/>
    <row r="7" spans="4:19" x14ac:dyDescent="0.25">
      <c r="E7" s="5" t="s">
        <v>3</v>
      </c>
      <c r="F7" s="8">
        <v>3</v>
      </c>
    </row>
    <row r="8" spans="4:19" x14ac:dyDescent="0.25">
      <c r="E8" s="6" t="s">
        <v>4</v>
      </c>
      <c r="F8" s="9">
        <v>3</v>
      </c>
    </row>
    <row r="9" spans="4:19" x14ac:dyDescent="0.25">
      <c r="E9" s="6" t="s">
        <v>15</v>
      </c>
      <c r="F9" s="9">
        <v>50</v>
      </c>
    </row>
    <row r="10" spans="4:19" ht="15.75" thickBot="1" x14ac:dyDescent="0.3">
      <c r="E10" s="6" t="s">
        <v>14</v>
      </c>
      <c r="F10" s="9">
        <v>51</v>
      </c>
    </row>
    <row r="11" spans="4:19" ht="15.75" thickBot="1" x14ac:dyDescent="0.3">
      <c r="E11" s="25" t="s">
        <v>16</v>
      </c>
      <c r="F11" s="9">
        <v>2</v>
      </c>
      <c r="G11" s="1"/>
      <c r="H11" s="35" t="s">
        <v>19</v>
      </c>
      <c r="I11" s="36"/>
      <c r="J11" s="33">
        <f>+TRUNC($F$9/5)</f>
        <v>10</v>
      </c>
      <c r="K11" s="34"/>
      <c r="L11" s="35" t="s">
        <v>19</v>
      </c>
      <c r="M11" s="36"/>
      <c r="N11" s="33">
        <f>+TRUNC($F$9/5)</f>
        <v>10</v>
      </c>
      <c r="O11" s="34"/>
      <c r="P11" s="35" t="s">
        <v>19</v>
      </c>
      <c r="Q11" s="36"/>
      <c r="R11" s="33">
        <f>+TRUNC($F$9/5)+(F10-F9)*F8</f>
        <v>13</v>
      </c>
      <c r="S11" s="34"/>
    </row>
    <row r="12" spans="4:19" ht="15.75" thickBot="1" x14ac:dyDescent="0.3">
      <c r="E12" s="29" t="s">
        <v>2</v>
      </c>
      <c r="F12" s="27" t="s">
        <v>6</v>
      </c>
      <c r="G12" s="29" t="s">
        <v>7</v>
      </c>
      <c r="H12" s="30" t="s">
        <v>12</v>
      </c>
      <c r="I12" s="31"/>
      <c r="J12" s="31"/>
      <c r="K12" s="32"/>
      <c r="L12" s="30" t="s">
        <v>9</v>
      </c>
      <c r="M12" s="31"/>
      <c r="N12" s="31"/>
      <c r="O12" s="32"/>
      <c r="P12" s="30" t="s">
        <v>13</v>
      </c>
      <c r="Q12" s="31"/>
      <c r="R12" s="31"/>
      <c r="S12" s="32"/>
    </row>
    <row r="13" spans="4:19" ht="15.75" thickBot="1" x14ac:dyDescent="0.3">
      <c r="E13" s="26"/>
      <c r="F13" s="28"/>
      <c r="G13" s="26"/>
      <c r="H13" s="24" t="s">
        <v>0</v>
      </c>
      <c r="I13" s="24" t="s">
        <v>10</v>
      </c>
      <c r="J13" s="24" t="s">
        <v>11</v>
      </c>
      <c r="K13" s="24" t="s">
        <v>1</v>
      </c>
      <c r="L13" s="24" t="s">
        <v>0</v>
      </c>
      <c r="M13" s="24" t="s">
        <v>10</v>
      </c>
      <c r="N13" s="24" t="s">
        <v>11</v>
      </c>
      <c r="O13" s="24" t="s">
        <v>1</v>
      </c>
      <c r="P13" s="24" t="s">
        <v>0</v>
      </c>
      <c r="Q13" s="24" t="s">
        <v>10</v>
      </c>
      <c r="R13" s="24" t="s">
        <v>11</v>
      </c>
      <c r="S13" s="24" t="s">
        <v>1</v>
      </c>
    </row>
    <row r="14" spans="4:19" x14ac:dyDescent="0.25">
      <c r="D14" s="1">
        <f>1</f>
        <v>1</v>
      </c>
      <c r="E14" s="14" t="str">
        <f t="shared" ref="E14:E33" si="0">+IF(D14&lt;=$F$7,"Negotiation",IF(D14&lt;=($F$7+$F$8),"Delivery",""))</f>
        <v>Negotiation</v>
      </c>
      <c r="F14" s="15">
        <v>50</v>
      </c>
      <c r="G14" s="16">
        <f t="shared" ref="G14:G33" si="1">+IF(D14&lt;=($F$7+$F$8),IF(E13="Negotiation",F13,$F$9),"")</f>
        <v>50</v>
      </c>
      <c r="H14" s="16">
        <f t="shared" ref="H14:H33" si="2">+IF(D14=$F$11,-TRUNC($F$9/5)+$F$8*($F$10-$F$9),IF(D14&lt;=$F$11,-TRUNC($F$9/5),""))</f>
        <v>-10</v>
      </c>
      <c r="I14" s="16">
        <f>+IF($D14&lt;=$F$11,+$F14-$G14,"")</f>
        <v>0</v>
      </c>
      <c r="J14" s="16">
        <f>-H14+I14</f>
        <v>10</v>
      </c>
      <c r="K14" s="16">
        <f>+IF(D14=$F$11,H14+TRUNC($F$9/5),IF($D14&lt;=$F$11,H14+J14,""))</f>
        <v>0</v>
      </c>
      <c r="L14" s="16">
        <f t="shared" ref="L14:L33" si="3">+IF(D14&lt;=($F$7+$F$8),-TRUNC($F$9/5),"")</f>
        <v>-10</v>
      </c>
      <c r="M14" s="16">
        <f t="shared" ref="M14:M33" si="4">+IF($D14&lt;=($F$7+$F$8),-$F14+$G14,"")</f>
        <v>0</v>
      </c>
      <c r="N14" s="16">
        <f>-L14+M14</f>
        <v>10</v>
      </c>
      <c r="O14" s="16">
        <f t="shared" ref="O14:O33" si="5">+IF($D14&lt;=($F$7+$F$8),L14+N14,"")</f>
        <v>0</v>
      </c>
      <c r="P14" s="16"/>
      <c r="Q14" s="16"/>
      <c r="R14" s="16"/>
      <c r="S14" s="17"/>
    </row>
    <row r="15" spans="4:19" x14ac:dyDescent="0.25">
      <c r="D15" s="1">
        <f>1+D14</f>
        <v>2</v>
      </c>
      <c r="E15" s="18" t="str">
        <f t="shared" si="0"/>
        <v>Negotiation</v>
      </c>
      <c r="F15" s="12">
        <v>50</v>
      </c>
      <c r="G15" s="11">
        <f t="shared" si="1"/>
        <v>50</v>
      </c>
      <c r="H15" s="11">
        <f t="shared" si="2"/>
        <v>-7</v>
      </c>
      <c r="I15" s="11">
        <f t="shared" ref="I15:I33" si="6">+IF($D15&lt;=$F$11,+$F15-$G15,"")</f>
        <v>0</v>
      </c>
      <c r="J15" s="11">
        <f>+IF($D15&lt;=$F$11,J14+I15,"")</f>
        <v>10</v>
      </c>
      <c r="K15" s="11">
        <f t="shared" ref="K15:K33" si="7">+IF(D15=$F$11,H15+TRUNC($F$9/5),IF($D15&lt;=$F$11,H15+J15,""))</f>
        <v>3</v>
      </c>
      <c r="L15" s="11">
        <f t="shared" si="3"/>
        <v>-10</v>
      </c>
      <c r="M15" s="11">
        <f t="shared" si="4"/>
        <v>0</v>
      </c>
      <c r="N15" s="11">
        <f t="shared" ref="N15:N33" si="8">+IF($D15&lt;=($F$7+$F$8),N14+M15,"")</f>
        <v>10</v>
      </c>
      <c r="O15" s="11">
        <f t="shared" si="5"/>
        <v>0</v>
      </c>
      <c r="P15" s="11" t="str">
        <f>+IF(AND(D15&gt;$F$11,D15&lt;=$F$7+$F$8),-TRUNC($F$9/5)-$F$8*($F$10-$F$9),"")</f>
        <v/>
      </c>
      <c r="Q15" s="11" t="str">
        <f t="shared" ref="Q15:Q33" si="9">+IF(AND(D15&gt;$F$11,D15&lt;=$F$7+$F$8),+$F15-$G15,"")</f>
        <v/>
      </c>
      <c r="R15" s="11">
        <f>IF(D15=$F$11,J15,IF(AND(D15&gt;$F$11,D15&lt;=$F$7+$F$8),+R14+Q15,""))</f>
        <v>10</v>
      </c>
      <c r="S15" s="19" t="str">
        <f t="shared" ref="S15:S33" si="10">+IF(AND(D15&gt;$F$11,D15&lt;=$F$7+$F$8),P15+R15,"")</f>
        <v/>
      </c>
    </row>
    <row r="16" spans="4:19" x14ac:dyDescent="0.25">
      <c r="D16" s="1">
        <f t="shared" ref="D16:D33" si="11">1+D15</f>
        <v>3</v>
      </c>
      <c r="E16" s="18" t="str">
        <f t="shared" si="0"/>
        <v>Negotiation</v>
      </c>
      <c r="F16" s="12">
        <v>55</v>
      </c>
      <c r="G16" s="11">
        <f t="shared" si="1"/>
        <v>50</v>
      </c>
      <c r="H16" s="11" t="str">
        <f t="shared" si="2"/>
        <v/>
      </c>
      <c r="I16" s="11" t="str">
        <f t="shared" si="6"/>
        <v/>
      </c>
      <c r="J16" s="11" t="str">
        <f t="shared" ref="J16:J33" si="12">+IF($D16&lt;=$F$11,J15+I16,"")</f>
        <v/>
      </c>
      <c r="K16" s="11" t="str">
        <f t="shared" si="7"/>
        <v/>
      </c>
      <c r="L16" s="11">
        <f t="shared" si="3"/>
        <v>-10</v>
      </c>
      <c r="M16" s="11">
        <f t="shared" si="4"/>
        <v>-5</v>
      </c>
      <c r="N16" s="11">
        <f t="shared" si="8"/>
        <v>5</v>
      </c>
      <c r="O16" s="11">
        <f t="shared" si="5"/>
        <v>-5</v>
      </c>
      <c r="P16" s="11">
        <f t="shared" ref="P16:P33" si="13">+IF(AND(D16&gt;$F$11,D16&lt;=$F$7+$F$8),-TRUNC($F$9/5)-$F$8*($F$10-$F$9),"")</f>
        <v>-13</v>
      </c>
      <c r="Q16" s="11">
        <f>+IF(AND(D16&gt;$F$11,D16&lt;=$F$7+$F$8),+$F16-$G16,"")</f>
        <v>5</v>
      </c>
      <c r="R16" s="11">
        <f t="shared" ref="R16:R33" si="14">IF(D16=$F$11,J16,IF(AND(D16&gt;$F$11,D16&lt;=$F$7+$F$8),+R15+Q16,""))</f>
        <v>15</v>
      </c>
      <c r="S16" s="19">
        <f t="shared" si="10"/>
        <v>2</v>
      </c>
    </row>
    <row r="17" spans="4:19" x14ac:dyDescent="0.25">
      <c r="D17" s="1">
        <f t="shared" si="11"/>
        <v>4</v>
      </c>
      <c r="E17" s="18" t="str">
        <f t="shared" si="0"/>
        <v>Delivery</v>
      </c>
      <c r="F17" s="12">
        <v>51</v>
      </c>
      <c r="G17" s="11">
        <f t="shared" si="1"/>
        <v>55</v>
      </c>
      <c r="H17" s="11" t="str">
        <f t="shared" si="2"/>
        <v/>
      </c>
      <c r="I17" s="11" t="str">
        <f t="shared" si="6"/>
        <v/>
      </c>
      <c r="J17" s="11" t="str">
        <f t="shared" si="12"/>
        <v/>
      </c>
      <c r="K17" s="11" t="str">
        <f>+IF(D17=$F$11,H17+TRUNC($F$9/5),IF($D17&lt;$F$11,H17+J17,""))</f>
        <v/>
      </c>
      <c r="L17" s="11">
        <f t="shared" si="3"/>
        <v>-10</v>
      </c>
      <c r="M17" s="11">
        <f t="shared" si="4"/>
        <v>4</v>
      </c>
      <c r="N17" s="11">
        <f t="shared" si="8"/>
        <v>9</v>
      </c>
      <c r="O17" s="11">
        <f t="shared" si="5"/>
        <v>-1</v>
      </c>
      <c r="P17" s="11">
        <f t="shared" si="13"/>
        <v>-13</v>
      </c>
      <c r="Q17" s="11">
        <f t="shared" si="9"/>
        <v>-4</v>
      </c>
      <c r="R17" s="11">
        <f t="shared" si="14"/>
        <v>11</v>
      </c>
      <c r="S17" s="19">
        <f t="shared" si="10"/>
        <v>-2</v>
      </c>
    </row>
    <row r="18" spans="4:19" x14ac:dyDescent="0.25">
      <c r="D18" s="1">
        <f t="shared" si="11"/>
        <v>5</v>
      </c>
      <c r="E18" s="18" t="str">
        <f t="shared" si="0"/>
        <v>Delivery</v>
      </c>
      <c r="F18" s="12">
        <v>51</v>
      </c>
      <c r="G18" s="11">
        <f t="shared" si="1"/>
        <v>50</v>
      </c>
      <c r="H18" s="11" t="str">
        <f t="shared" si="2"/>
        <v/>
      </c>
      <c r="I18" s="11" t="str">
        <f t="shared" si="6"/>
        <v/>
      </c>
      <c r="J18" s="11" t="str">
        <f t="shared" si="12"/>
        <v/>
      </c>
      <c r="K18" s="11" t="str">
        <f t="shared" si="7"/>
        <v/>
      </c>
      <c r="L18" s="11">
        <f t="shared" si="3"/>
        <v>-10</v>
      </c>
      <c r="M18" s="11">
        <f t="shared" si="4"/>
        <v>-1</v>
      </c>
      <c r="N18" s="11">
        <f t="shared" si="8"/>
        <v>8</v>
      </c>
      <c r="O18" s="11">
        <f t="shared" si="5"/>
        <v>-2</v>
      </c>
      <c r="P18" s="11">
        <f t="shared" si="13"/>
        <v>-13</v>
      </c>
      <c r="Q18" s="11">
        <f t="shared" si="9"/>
        <v>1</v>
      </c>
      <c r="R18" s="11">
        <f t="shared" si="14"/>
        <v>12</v>
      </c>
      <c r="S18" s="19">
        <f t="shared" si="10"/>
        <v>-1</v>
      </c>
    </row>
    <row r="19" spans="4:19" x14ac:dyDescent="0.25">
      <c r="D19" s="1">
        <f t="shared" si="11"/>
        <v>6</v>
      </c>
      <c r="E19" s="18" t="str">
        <f t="shared" si="0"/>
        <v>Delivery</v>
      </c>
      <c r="F19" s="12">
        <v>49</v>
      </c>
      <c r="G19" s="11">
        <f t="shared" si="1"/>
        <v>50</v>
      </c>
      <c r="H19" s="11" t="str">
        <f t="shared" si="2"/>
        <v/>
      </c>
      <c r="I19" s="11" t="str">
        <f t="shared" si="6"/>
        <v/>
      </c>
      <c r="J19" s="11" t="str">
        <f t="shared" si="12"/>
        <v/>
      </c>
      <c r="K19" s="11" t="str">
        <f t="shared" si="7"/>
        <v/>
      </c>
      <c r="L19" s="11">
        <f t="shared" si="3"/>
        <v>-10</v>
      </c>
      <c r="M19" s="11">
        <f t="shared" si="4"/>
        <v>1</v>
      </c>
      <c r="N19" s="11">
        <f t="shared" si="8"/>
        <v>9</v>
      </c>
      <c r="O19" s="11">
        <f t="shared" si="5"/>
        <v>-1</v>
      </c>
      <c r="P19" s="11">
        <f t="shared" si="13"/>
        <v>-13</v>
      </c>
      <c r="Q19" s="11">
        <f t="shared" si="9"/>
        <v>-1</v>
      </c>
      <c r="R19" s="11">
        <f t="shared" si="14"/>
        <v>11</v>
      </c>
      <c r="S19" s="19">
        <f t="shared" si="10"/>
        <v>-2</v>
      </c>
    </row>
    <row r="20" spans="4:19" x14ac:dyDescent="0.25">
      <c r="D20" s="1">
        <f t="shared" si="11"/>
        <v>7</v>
      </c>
      <c r="E20" s="18" t="str">
        <f t="shared" si="0"/>
        <v/>
      </c>
      <c r="F20" s="12">
        <v>50</v>
      </c>
      <c r="G20" s="11" t="str">
        <f t="shared" si="1"/>
        <v/>
      </c>
      <c r="H20" s="11" t="str">
        <f t="shared" si="2"/>
        <v/>
      </c>
      <c r="I20" s="11" t="str">
        <f t="shared" si="6"/>
        <v/>
      </c>
      <c r="J20" s="11" t="str">
        <f t="shared" si="12"/>
        <v/>
      </c>
      <c r="K20" s="11" t="str">
        <f t="shared" si="7"/>
        <v/>
      </c>
      <c r="L20" s="11" t="str">
        <f t="shared" si="3"/>
        <v/>
      </c>
      <c r="M20" s="11" t="str">
        <f t="shared" si="4"/>
        <v/>
      </c>
      <c r="N20" s="11" t="str">
        <f t="shared" si="8"/>
        <v/>
      </c>
      <c r="O20" s="11" t="str">
        <f t="shared" si="5"/>
        <v/>
      </c>
      <c r="P20" s="11" t="str">
        <f t="shared" si="13"/>
        <v/>
      </c>
      <c r="Q20" s="11" t="str">
        <f t="shared" si="9"/>
        <v/>
      </c>
      <c r="R20" s="11" t="str">
        <f t="shared" si="14"/>
        <v/>
      </c>
      <c r="S20" s="19" t="str">
        <f t="shared" si="10"/>
        <v/>
      </c>
    </row>
    <row r="21" spans="4:19" x14ac:dyDescent="0.25">
      <c r="D21" s="1">
        <f t="shared" si="11"/>
        <v>8</v>
      </c>
      <c r="E21" s="18" t="str">
        <f t="shared" si="0"/>
        <v/>
      </c>
      <c r="F21" s="12">
        <v>50</v>
      </c>
      <c r="G21" s="11" t="str">
        <f t="shared" si="1"/>
        <v/>
      </c>
      <c r="H21" s="11" t="str">
        <f t="shared" si="2"/>
        <v/>
      </c>
      <c r="I21" s="11" t="str">
        <f t="shared" si="6"/>
        <v/>
      </c>
      <c r="J21" s="11" t="str">
        <f t="shared" si="12"/>
        <v/>
      </c>
      <c r="K21" s="11" t="str">
        <f t="shared" si="7"/>
        <v/>
      </c>
      <c r="L21" s="11" t="str">
        <f t="shared" si="3"/>
        <v/>
      </c>
      <c r="M21" s="11" t="str">
        <f t="shared" si="4"/>
        <v/>
      </c>
      <c r="N21" s="11" t="str">
        <f t="shared" si="8"/>
        <v/>
      </c>
      <c r="O21" s="11" t="str">
        <f t="shared" si="5"/>
        <v/>
      </c>
      <c r="P21" s="11" t="str">
        <f t="shared" si="13"/>
        <v/>
      </c>
      <c r="Q21" s="11" t="str">
        <f t="shared" si="9"/>
        <v/>
      </c>
      <c r="R21" s="11" t="str">
        <f t="shared" si="14"/>
        <v/>
      </c>
      <c r="S21" s="19" t="str">
        <f t="shared" si="10"/>
        <v/>
      </c>
    </row>
    <row r="22" spans="4:19" x14ac:dyDescent="0.25">
      <c r="D22" s="1">
        <f t="shared" si="11"/>
        <v>9</v>
      </c>
      <c r="E22" s="18" t="str">
        <f t="shared" si="0"/>
        <v/>
      </c>
      <c r="F22" s="12">
        <v>50</v>
      </c>
      <c r="G22" s="11" t="str">
        <f t="shared" si="1"/>
        <v/>
      </c>
      <c r="H22" s="11" t="str">
        <f t="shared" si="2"/>
        <v/>
      </c>
      <c r="I22" s="11" t="str">
        <f t="shared" si="6"/>
        <v/>
      </c>
      <c r="J22" s="11" t="str">
        <f t="shared" si="12"/>
        <v/>
      </c>
      <c r="K22" s="11" t="str">
        <f t="shared" si="7"/>
        <v/>
      </c>
      <c r="L22" s="11" t="str">
        <f t="shared" si="3"/>
        <v/>
      </c>
      <c r="M22" s="11" t="str">
        <f t="shared" si="4"/>
        <v/>
      </c>
      <c r="N22" s="11" t="str">
        <f t="shared" si="8"/>
        <v/>
      </c>
      <c r="O22" s="11" t="str">
        <f t="shared" si="5"/>
        <v/>
      </c>
      <c r="P22" s="11" t="str">
        <f t="shared" si="13"/>
        <v/>
      </c>
      <c r="Q22" s="11" t="str">
        <f t="shared" si="9"/>
        <v/>
      </c>
      <c r="R22" s="11" t="str">
        <f t="shared" si="14"/>
        <v/>
      </c>
      <c r="S22" s="19" t="str">
        <f t="shared" si="10"/>
        <v/>
      </c>
    </row>
    <row r="23" spans="4:19" x14ac:dyDescent="0.25">
      <c r="D23" s="1">
        <f t="shared" si="11"/>
        <v>10</v>
      </c>
      <c r="E23" s="18" t="str">
        <f t="shared" si="0"/>
        <v/>
      </c>
      <c r="F23" s="12"/>
      <c r="G23" s="11" t="str">
        <f t="shared" si="1"/>
        <v/>
      </c>
      <c r="H23" s="11" t="str">
        <f t="shared" si="2"/>
        <v/>
      </c>
      <c r="I23" s="11" t="str">
        <f t="shared" si="6"/>
        <v/>
      </c>
      <c r="J23" s="11" t="str">
        <f t="shared" si="12"/>
        <v/>
      </c>
      <c r="K23" s="11" t="str">
        <f t="shared" si="7"/>
        <v/>
      </c>
      <c r="L23" s="11" t="str">
        <f t="shared" si="3"/>
        <v/>
      </c>
      <c r="M23" s="11" t="str">
        <f t="shared" si="4"/>
        <v/>
      </c>
      <c r="N23" s="11" t="str">
        <f t="shared" si="8"/>
        <v/>
      </c>
      <c r="O23" s="11" t="str">
        <f t="shared" si="5"/>
        <v/>
      </c>
      <c r="P23" s="11" t="str">
        <f t="shared" si="13"/>
        <v/>
      </c>
      <c r="Q23" s="11" t="str">
        <f t="shared" si="9"/>
        <v/>
      </c>
      <c r="R23" s="11" t="str">
        <f t="shared" si="14"/>
        <v/>
      </c>
      <c r="S23" s="19" t="str">
        <f t="shared" si="10"/>
        <v/>
      </c>
    </row>
    <row r="24" spans="4:19" x14ac:dyDescent="0.25">
      <c r="D24" s="1">
        <f t="shared" si="11"/>
        <v>11</v>
      </c>
      <c r="E24" s="18" t="str">
        <f t="shared" si="0"/>
        <v/>
      </c>
      <c r="F24" s="13"/>
      <c r="G24" s="11" t="str">
        <f t="shared" si="1"/>
        <v/>
      </c>
      <c r="H24" s="11" t="str">
        <f t="shared" si="2"/>
        <v/>
      </c>
      <c r="I24" s="11" t="str">
        <f t="shared" si="6"/>
        <v/>
      </c>
      <c r="J24" s="11" t="str">
        <f t="shared" si="12"/>
        <v/>
      </c>
      <c r="K24" s="11" t="str">
        <f t="shared" si="7"/>
        <v/>
      </c>
      <c r="L24" s="11" t="str">
        <f t="shared" si="3"/>
        <v/>
      </c>
      <c r="M24" s="11" t="str">
        <f t="shared" si="4"/>
        <v/>
      </c>
      <c r="N24" s="11" t="str">
        <f t="shared" si="8"/>
        <v/>
      </c>
      <c r="O24" s="11" t="str">
        <f t="shared" si="5"/>
        <v/>
      </c>
      <c r="P24" s="11" t="str">
        <f t="shared" si="13"/>
        <v/>
      </c>
      <c r="Q24" s="11" t="str">
        <f t="shared" si="9"/>
        <v/>
      </c>
      <c r="R24" s="11" t="str">
        <f t="shared" si="14"/>
        <v/>
      </c>
      <c r="S24" s="19" t="str">
        <f t="shared" si="10"/>
        <v/>
      </c>
    </row>
    <row r="25" spans="4:19" x14ac:dyDescent="0.25">
      <c r="D25" s="1">
        <f t="shared" si="11"/>
        <v>12</v>
      </c>
      <c r="E25" s="18" t="str">
        <f t="shared" si="0"/>
        <v/>
      </c>
      <c r="F25" s="13"/>
      <c r="G25" s="11" t="str">
        <f t="shared" si="1"/>
        <v/>
      </c>
      <c r="H25" s="11" t="str">
        <f t="shared" si="2"/>
        <v/>
      </c>
      <c r="I25" s="11" t="str">
        <f t="shared" si="6"/>
        <v/>
      </c>
      <c r="J25" s="11" t="str">
        <f t="shared" si="12"/>
        <v/>
      </c>
      <c r="K25" s="11" t="str">
        <f t="shared" si="7"/>
        <v/>
      </c>
      <c r="L25" s="11" t="str">
        <f t="shared" si="3"/>
        <v/>
      </c>
      <c r="M25" s="11" t="str">
        <f t="shared" si="4"/>
        <v/>
      </c>
      <c r="N25" s="11" t="str">
        <f t="shared" si="8"/>
        <v/>
      </c>
      <c r="O25" s="11" t="str">
        <f t="shared" si="5"/>
        <v/>
      </c>
      <c r="P25" s="11" t="str">
        <f t="shared" si="13"/>
        <v/>
      </c>
      <c r="Q25" s="11" t="str">
        <f t="shared" si="9"/>
        <v/>
      </c>
      <c r="R25" s="11" t="str">
        <f t="shared" si="14"/>
        <v/>
      </c>
      <c r="S25" s="19" t="str">
        <f t="shared" si="10"/>
        <v/>
      </c>
    </row>
    <row r="26" spans="4:19" x14ac:dyDescent="0.25">
      <c r="D26" s="1">
        <f t="shared" si="11"/>
        <v>13</v>
      </c>
      <c r="E26" s="18" t="str">
        <f t="shared" si="0"/>
        <v/>
      </c>
      <c r="F26" s="13"/>
      <c r="G26" s="11" t="str">
        <f t="shared" si="1"/>
        <v/>
      </c>
      <c r="H26" s="11" t="str">
        <f t="shared" si="2"/>
        <v/>
      </c>
      <c r="I26" s="11" t="str">
        <f t="shared" si="6"/>
        <v/>
      </c>
      <c r="J26" s="11" t="str">
        <f t="shared" si="12"/>
        <v/>
      </c>
      <c r="K26" s="11" t="str">
        <f t="shared" si="7"/>
        <v/>
      </c>
      <c r="L26" s="11" t="str">
        <f t="shared" si="3"/>
        <v/>
      </c>
      <c r="M26" s="11" t="str">
        <f t="shared" si="4"/>
        <v/>
      </c>
      <c r="N26" s="11" t="str">
        <f t="shared" si="8"/>
        <v/>
      </c>
      <c r="O26" s="11" t="str">
        <f t="shared" si="5"/>
        <v/>
      </c>
      <c r="P26" s="11" t="str">
        <f t="shared" si="13"/>
        <v/>
      </c>
      <c r="Q26" s="11" t="str">
        <f t="shared" si="9"/>
        <v/>
      </c>
      <c r="R26" s="11" t="str">
        <f t="shared" si="14"/>
        <v/>
      </c>
      <c r="S26" s="19" t="str">
        <f t="shared" si="10"/>
        <v/>
      </c>
    </row>
    <row r="27" spans="4:19" x14ac:dyDescent="0.25">
      <c r="D27" s="1">
        <f t="shared" si="11"/>
        <v>14</v>
      </c>
      <c r="E27" s="18" t="str">
        <f t="shared" si="0"/>
        <v/>
      </c>
      <c r="F27" s="13"/>
      <c r="G27" s="11" t="str">
        <f t="shared" si="1"/>
        <v/>
      </c>
      <c r="H27" s="11" t="str">
        <f t="shared" si="2"/>
        <v/>
      </c>
      <c r="I27" s="11" t="str">
        <f t="shared" si="6"/>
        <v/>
      </c>
      <c r="J27" s="11" t="str">
        <f t="shared" si="12"/>
        <v/>
      </c>
      <c r="K27" s="11" t="str">
        <f t="shared" si="7"/>
        <v/>
      </c>
      <c r="L27" s="11" t="str">
        <f t="shared" si="3"/>
        <v/>
      </c>
      <c r="M27" s="11" t="str">
        <f t="shared" si="4"/>
        <v/>
      </c>
      <c r="N27" s="11" t="str">
        <f t="shared" si="8"/>
        <v/>
      </c>
      <c r="O27" s="11" t="str">
        <f t="shared" si="5"/>
        <v/>
      </c>
      <c r="P27" s="11" t="str">
        <f t="shared" si="13"/>
        <v/>
      </c>
      <c r="Q27" s="11" t="str">
        <f t="shared" si="9"/>
        <v/>
      </c>
      <c r="R27" s="11" t="str">
        <f t="shared" si="14"/>
        <v/>
      </c>
      <c r="S27" s="19" t="str">
        <f t="shared" si="10"/>
        <v/>
      </c>
    </row>
    <row r="28" spans="4:19" x14ac:dyDescent="0.25">
      <c r="D28" s="1">
        <f t="shared" si="11"/>
        <v>15</v>
      </c>
      <c r="E28" s="18" t="str">
        <f t="shared" si="0"/>
        <v/>
      </c>
      <c r="F28" s="13"/>
      <c r="G28" s="11" t="str">
        <f t="shared" si="1"/>
        <v/>
      </c>
      <c r="H28" s="11" t="str">
        <f t="shared" si="2"/>
        <v/>
      </c>
      <c r="I28" s="11" t="str">
        <f t="shared" si="6"/>
        <v/>
      </c>
      <c r="J28" s="11" t="str">
        <f t="shared" si="12"/>
        <v/>
      </c>
      <c r="K28" s="11" t="str">
        <f t="shared" si="7"/>
        <v/>
      </c>
      <c r="L28" s="11" t="str">
        <f t="shared" si="3"/>
        <v/>
      </c>
      <c r="M28" s="11" t="str">
        <f t="shared" si="4"/>
        <v/>
      </c>
      <c r="N28" s="11" t="str">
        <f t="shared" si="8"/>
        <v/>
      </c>
      <c r="O28" s="11" t="str">
        <f t="shared" si="5"/>
        <v/>
      </c>
      <c r="P28" s="11" t="str">
        <f t="shared" si="13"/>
        <v/>
      </c>
      <c r="Q28" s="11" t="str">
        <f t="shared" si="9"/>
        <v/>
      </c>
      <c r="R28" s="11" t="str">
        <f t="shared" si="14"/>
        <v/>
      </c>
      <c r="S28" s="19" t="str">
        <f t="shared" si="10"/>
        <v/>
      </c>
    </row>
    <row r="29" spans="4:19" x14ac:dyDescent="0.25">
      <c r="D29" s="1">
        <f t="shared" si="11"/>
        <v>16</v>
      </c>
      <c r="E29" s="18" t="str">
        <f t="shared" si="0"/>
        <v/>
      </c>
      <c r="F29" s="13"/>
      <c r="G29" s="11" t="str">
        <f t="shared" si="1"/>
        <v/>
      </c>
      <c r="H29" s="11" t="str">
        <f t="shared" si="2"/>
        <v/>
      </c>
      <c r="I29" s="11" t="str">
        <f t="shared" si="6"/>
        <v/>
      </c>
      <c r="J29" s="11" t="str">
        <f t="shared" si="12"/>
        <v/>
      </c>
      <c r="K29" s="11" t="str">
        <f t="shared" si="7"/>
        <v/>
      </c>
      <c r="L29" s="11" t="str">
        <f t="shared" si="3"/>
        <v/>
      </c>
      <c r="M29" s="11" t="str">
        <f t="shared" si="4"/>
        <v/>
      </c>
      <c r="N29" s="11" t="str">
        <f t="shared" si="8"/>
        <v/>
      </c>
      <c r="O29" s="11" t="str">
        <f t="shared" si="5"/>
        <v/>
      </c>
      <c r="P29" s="11" t="str">
        <f t="shared" si="13"/>
        <v/>
      </c>
      <c r="Q29" s="11" t="str">
        <f t="shared" si="9"/>
        <v/>
      </c>
      <c r="R29" s="11" t="str">
        <f t="shared" si="14"/>
        <v/>
      </c>
      <c r="S29" s="19" t="str">
        <f t="shared" si="10"/>
        <v/>
      </c>
    </row>
    <row r="30" spans="4:19" x14ac:dyDescent="0.25">
      <c r="D30" s="1">
        <f t="shared" si="11"/>
        <v>17</v>
      </c>
      <c r="E30" s="18" t="str">
        <f t="shared" si="0"/>
        <v/>
      </c>
      <c r="F30" s="13"/>
      <c r="G30" s="11" t="str">
        <f t="shared" si="1"/>
        <v/>
      </c>
      <c r="H30" s="11" t="str">
        <f t="shared" si="2"/>
        <v/>
      </c>
      <c r="I30" s="11" t="str">
        <f t="shared" si="6"/>
        <v/>
      </c>
      <c r="J30" s="11" t="str">
        <f t="shared" si="12"/>
        <v/>
      </c>
      <c r="K30" s="11" t="str">
        <f t="shared" si="7"/>
        <v/>
      </c>
      <c r="L30" s="11" t="str">
        <f t="shared" si="3"/>
        <v/>
      </c>
      <c r="M30" s="11" t="str">
        <f t="shared" si="4"/>
        <v/>
      </c>
      <c r="N30" s="11" t="str">
        <f t="shared" si="8"/>
        <v/>
      </c>
      <c r="O30" s="11" t="str">
        <f t="shared" si="5"/>
        <v/>
      </c>
      <c r="P30" s="11" t="str">
        <f t="shared" si="13"/>
        <v/>
      </c>
      <c r="Q30" s="11" t="str">
        <f t="shared" si="9"/>
        <v/>
      </c>
      <c r="R30" s="11" t="str">
        <f t="shared" si="14"/>
        <v/>
      </c>
      <c r="S30" s="19" t="str">
        <f t="shared" si="10"/>
        <v/>
      </c>
    </row>
    <row r="31" spans="4:19" x14ac:dyDescent="0.25">
      <c r="D31" s="1">
        <f t="shared" si="11"/>
        <v>18</v>
      </c>
      <c r="E31" s="18" t="str">
        <f t="shared" si="0"/>
        <v/>
      </c>
      <c r="F31" s="13"/>
      <c r="G31" s="11" t="str">
        <f t="shared" si="1"/>
        <v/>
      </c>
      <c r="H31" s="11" t="str">
        <f t="shared" si="2"/>
        <v/>
      </c>
      <c r="I31" s="11" t="str">
        <f t="shared" si="6"/>
        <v/>
      </c>
      <c r="J31" s="11" t="str">
        <f t="shared" si="12"/>
        <v/>
      </c>
      <c r="K31" s="11" t="str">
        <f t="shared" si="7"/>
        <v/>
      </c>
      <c r="L31" s="11" t="str">
        <f t="shared" si="3"/>
        <v/>
      </c>
      <c r="M31" s="11" t="str">
        <f t="shared" si="4"/>
        <v/>
      </c>
      <c r="N31" s="11" t="str">
        <f t="shared" si="8"/>
        <v/>
      </c>
      <c r="O31" s="11" t="str">
        <f t="shared" si="5"/>
        <v/>
      </c>
      <c r="P31" s="11" t="str">
        <f t="shared" si="13"/>
        <v/>
      </c>
      <c r="Q31" s="11" t="str">
        <f t="shared" si="9"/>
        <v/>
      </c>
      <c r="R31" s="11" t="str">
        <f t="shared" si="14"/>
        <v/>
      </c>
      <c r="S31" s="19" t="str">
        <f t="shared" si="10"/>
        <v/>
      </c>
    </row>
    <row r="32" spans="4:19" x14ac:dyDescent="0.25">
      <c r="D32" s="1">
        <f t="shared" si="11"/>
        <v>19</v>
      </c>
      <c r="E32" s="18" t="str">
        <f t="shared" si="0"/>
        <v/>
      </c>
      <c r="F32" s="13"/>
      <c r="G32" s="11" t="str">
        <f t="shared" si="1"/>
        <v/>
      </c>
      <c r="H32" s="11" t="str">
        <f t="shared" si="2"/>
        <v/>
      </c>
      <c r="I32" s="11" t="str">
        <f t="shared" si="6"/>
        <v/>
      </c>
      <c r="J32" s="11" t="str">
        <f t="shared" si="12"/>
        <v/>
      </c>
      <c r="K32" s="11" t="str">
        <f t="shared" si="7"/>
        <v/>
      </c>
      <c r="L32" s="11" t="str">
        <f t="shared" si="3"/>
        <v/>
      </c>
      <c r="M32" s="11" t="str">
        <f t="shared" si="4"/>
        <v/>
      </c>
      <c r="N32" s="11" t="str">
        <f t="shared" si="8"/>
        <v/>
      </c>
      <c r="O32" s="11" t="str">
        <f t="shared" si="5"/>
        <v/>
      </c>
      <c r="P32" s="11" t="str">
        <f t="shared" si="13"/>
        <v/>
      </c>
      <c r="Q32" s="11" t="str">
        <f t="shared" si="9"/>
        <v/>
      </c>
      <c r="R32" s="11" t="str">
        <f t="shared" si="14"/>
        <v/>
      </c>
      <c r="S32" s="19" t="str">
        <f t="shared" si="10"/>
        <v/>
      </c>
    </row>
    <row r="33" spans="4:19" ht="15.75" thickBot="1" x14ac:dyDescent="0.3">
      <c r="D33" s="1">
        <f t="shared" si="11"/>
        <v>20</v>
      </c>
      <c r="E33" s="20" t="str">
        <f t="shared" si="0"/>
        <v/>
      </c>
      <c r="F33" s="21"/>
      <c r="G33" s="22" t="str">
        <f t="shared" si="1"/>
        <v/>
      </c>
      <c r="H33" s="22" t="str">
        <f t="shared" si="2"/>
        <v/>
      </c>
      <c r="I33" s="22" t="str">
        <f t="shared" si="6"/>
        <v/>
      </c>
      <c r="J33" s="22" t="str">
        <f t="shared" si="12"/>
        <v/>
      </c>
      <c r="K33" s="22" t="str">
        <f t="shared" si="7"/>
        <v/>
      </c>
      <c r="L33" s="22" t="str">
        <f t="shared" si="3"/>
        <v/>
      </c>
      <c r="M33" s="22" t="str">
        <f t="shared" si="4"/>
        <v/>
      </c>
      <c r="N33" s="22" t="str">
        <f t="shared" si="8"/>
        <v/>
      </c>
      <c r="O33" s="22" t="str">
        <f t="shared" si="5"/>
        <v/>
      </c>
      <c r="P33" s="22" t="str">
        <f t="shared" si="13"/>
        <v/>
      </c>
      <c r="Q33" s="22" t="str">
        <f t="shared" si="9"/>
        <v/>
      </c>
      <c r="R33" s="22" t="str">
        <f t="shared" si="14"/>
        <v/>
      </c>
      <c r="S33" s="23" t="str">
        <f t="shared" si="10"/>
        <v/>
      </c>
    </row>
    <row r="34" spans="4:19" x14ac:dyDescent="0.25">
      <c r="E34" s="1"/>
      <c r="I34" s="2"/>
      <c r="J34" s="3"/>
      <c r="K34" s="3"/>
      <c r="L34" s="1"/>
      <c r="M34" s="2"/>
      <c r="N34" s="4"/>
    </row>
    <row r="35" spans="4:19" x14ac:dyDescent="0.25">
      <c r="E35" s="1"/>
    </row>
  </sheetData>
  <mergeCells count="12">
    <mergeCell ref="P12:S12"/>
    <mergeCell ref="E12:E13"/>
    <mergeCell ref="F12:F13"/>
    <mergeCell ref="G12:G13"/>
    <mergeCell ref="H12:K12"/>
    <mergeCell ref="L12:O12"/>
    <mergeCell ref="R11:S11"/>
    <mergeCell ref="H11:I11"/>
    <mergeCell ref="J11:K11"/>
    <mergeCell ref="L11:M11"/>
    <mergeCell ref="N11:O11"/>
    <mergeCell ref="P11:Q1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6E559-19F3-4CC1-B366-62AF7699054E}">
  <sheetPr codeName="Hoja4"/>
  <dimension ref="D6:S35"/>
  <sheetViews>
    <sheetView topLeftCell="B1" zoomScale="90" zoomScaleNormal="90" workbookViewId="0">
      <selection activeCell="T2" sqref="T2"/>
    </sheetView>
  </sheetViews>
  <sheetFormatPr baseColWidth="10" defaultRowHeight="15" x14ac:dyDescent="0.25"/>
  <cols>
    <col min="4" max="4" width="2.85546875" hidden="1" customWidth="1"/>
    <col min="5" max="5" width="12" bestFit="1" customWidth="1"/>
    <col min="6" max="6" width="10.140625" bestFit="1" customWidth="1"/>
    <col min="7" max="7" width="9.140625" bestFit="1" customWidth="1"/>
    <col min="8" max="8" width="7.5703125" bestFit="1" customWidth="1"/>
    <col min="9" max="9" width="14.5703125" bestFit="1" customWidth="1"/>
    <col min="10" max="10" width="12.5703125" bestFit="1" customWidth="1"/>
    <col min="11" max="11" width="3.7109375" bestFit="1" customWidth="1"/>
    <col min="12" max="12" width="7.5703125" bestFit="1" customWidth="1"/>
    <col min="13" max="13" width="14.5703125" bestFit="1" customWidth="1"/>
    <col min="14" max="14" width="12.5703125" bestFit="1" customWidth="1"/>
    <col min="15" max="15" width="3.7109375" bestFit="1" customWidth="1"/>
    <col min="16" max="16" width="7.5703125" bestFit="1" customWidth="1"/>
    <col min="17" max="17" width="14.5703125" bestFit="1" customWidth="1"/>
    <col min="18" max="18" width="12.5703125" bestFit="1" customWidth="1"/>
    <col min="19" max="19" width="8.85546875" bestFit="1" customWidth="1"/>
  </cols>
  <sheetData>
    <row r="6" spans="4:19" ht="15.75" thickBot="1" x14ac:dyDescent="0.3"/>
    <row r="7" spans="4:19" x14ac:dyDescent="0.25">
      <c r="E7" s="5" t="s">
        <v>3</v>
      </c>
      <c r="F7" s="8">
        <v>3</v>
      </c>
    </row>
    <row r="8" spans="4:19" x14ac:dyDescent="0.25">
      <c r="E8" s="6" t="s">
        <v>4</v>
      </c>
      <c r="F8" s="9">
        <v>3</v>
      </c>
    </row>
    <row r="9" spans="4:19" x14ac:dyDescent="0.25">
      <c r="E9" s="6" t="s">
        <v>15</v>
      </c>
      <c r="F9" s="9">
        <v>50</v>
      </c>
    </row>
    <row r="10" spans="4:19" ht="15.75" thickBot="1" x14ac:dyDescent="0.3">
      <c r="E10" s="6" t="s">
        <v>14</v>
      </c>
      <c r="F10" s="9">
        <v>51</v>
      </c>
    </row>
    <row r="11" spans="4:19" ht="15.75" thickBot="1" x14ac:dyDescent="0.3">
      <c r="E11" s="25" t="s">
        <v>16</v>
      </c>
      <c r="F11" s="9">
        <v>2</v>
      </c>
      <c r="G11" s="1"/>
      <c r="H11" s="35" t="s">
        <v>19</v>
      </c>
      <c r="I11" s="36"/>
      <c r="J11" s="33">
        <f>+TRUNC($F$9/5)</f>
        <v>10</v>
      </c>
      <c r="K11" s="34"/>
      <c r="L11" s="35" t="s">
        <v>19</v>
      </c>
      <c r="M11" s="36"/>
      <c r="N11" s="33">
        <f>+TRUNC($F$9/5)</f>
        <v>10</v>
      </c>
      <c r="O11" s="34"/>
      <c r="P11" s="35" t="s">
        <v>19</v>
      </c>
      <c r="Q11" s="36"/>
      <c r="R11" s="33">
        <f>+TRUNC($F$9/5)+(-F10+F9)*F8</f>
        <v>7</v>
      </c>
      <c r="S11" s="34"/>
    </row>
    <row r="12" spans="4:19" ht="15.75" thickBot="1" x14ac:dyDescent="0.3">
      <c r="E12" s="29" t="s">
        <v>2</v>
      </c>
      <c r="F12" s="27" t="s">
        <v>6</v>
      </c>
      <c r="G12" s="29" t="s">
        <v>7</v>
      </c>
      <c r="H12" s="30" t="s">
        <v>8</v>
      </c>
      <c r="I12" s="31"/>
      <c r="J12" s="31"/>
      <c r="K12" s="32"/>
      <c r="L12" s="30" t="s">
        <v>18</v>
      </c>
      <c r="M12" s="31"/>
      <c r="N12" s="31"/>
      <c r="O12" s="32"/>
      <c r="P12" s="30" t="s">
        <v>17</v>
      </c>
      <c r="Q12" s="31"/>
      <c r="R12" s="31"/>
      <c r="S12" s="32"/>
    </row>
    <row r="13" spans="4:19" ht="15.75" thickBot="1" x14ac:dyDescent="0.3">
      <c r="E13" s="26"/>
      <c r="F13" s="28"/>
      <c r="G13" s="26"/>
      <c r="H13" s="24" t="s">
        <v>0</v>
      </c>
      <c r="I13" s="24" t="s">
        <v>10</v>
      </c>
      <c r="J13" s="24" t="s">
        <v>11</v>
      </c>
      <c r="K13" s="24" t="s">
        <v>1</v>
      </c>
      <c r="L13" s="24" t="s">
        <v>0</v>
      </c>
      <c r="M13" s="24" t="s">
        <v>10</v>
      </c>
      <c r="N13" s="24" t="s">
        <v>11</v>
      </c>
      <c r="O13" s="24" t="s">
        <v>1</v>
      </c>
      <c r="P13" s="24" t="s">
        <v>0</v>
      </c>
      <c r="Q13" s="24" t="s">
        <v>10</v>
      </c>
      <c r="R13" s="24" t="s">
        <v>11</v>
      </c>
      <c r="S13" s="24" t="s">
        <v>1</v>
      </c>
    </row>
    <row r="14" spans="4:19" x14ac:dyDescent="0.25">
      <c r="D14" s="1">
        <f>1</f>
        <v>1</v>
      </c>
      <c r="E14" s="14" t="str">
        <f t="shared" ref="E14:E33" si="0">+IF(D14&lt;=$F$7,"Negotiation",IF(D14&lt;=($F$7+$F$8),"Delivery",""))</f>
        <v>Negotiation</v>
      </c>
      <c r="F14" s="15">
        <v>50</v>
      </c>
      <c r="G14" s="16">
        <f t="shared" ref="G14:G33" si="1">+IF(D14&lt;=($F$7+$F$8),IF(E13="Negotiation",F13,$F$9),"")</f>
        <v>50</v>
      </c>
      <c r="H14" s="16">
        <f>+IF(D14&lt;=($F$7+$F$8),-TRUNC($F$9/5),"")</f>
        <v>-10</v>
      </c>
      <c r="I14" s="16">
        <f>+IF($D14&lt;=($F$7+$F$8),+$F14-$G14,"")</f>
        <v>0</v>
      </c>
      <c r="J14" s="16">
        <f>-H14+I14</f>
        <v>10</v>
      </c>
      <c r="K14" s="16">
        <f>+IF(D14&lt;=$F$7+$F$8,H14+J14,"")</f>
        <v>0</v>
      </c>
      <c r="L14" s="16">
        <f>+IF($D14=$F$11,-TRUNC($F$9/5)-$F$8*($F$10-$F$9),IF(D14&lt;=$F$11,-TRUNC($F$9/5),""))</f>
        <v>-10</v>
      </c>
      <c r="M14" s="16">
        <f>+IF($D14&lt;=$F$11,-$F14+$G14,"")</f>
        <v>0</v>
      </c>
      <c r="N14" s="16">
        <f>-L14+M14</f>
        <v>10</v>
      </c>
      <c r="O14" s="16">
        <f>+IF($D14=$F$11,L14+TRUNC($F$9/5),IF($D14&lt;=$F$11,L14+N14,""))</f>
        <v>0</v>
      </c>
      <c r="P14" s="16"/>
      <c r="Q14" s="16"/>
      <c r="R14" s="16"/>
      <c r="S14" s="17"/>
    </row>
    <row r="15" spans="4:19" x14ac:dyDescent="0.25">
      <c r="D15" s="1">
        <f>1+D14</f>
        <v>2</v>
      </c>
      <c r="E15" s="18" t="str">
        <f t="shared" si="0"/>
        <v>Negotiation</v>
      </c>
      <c r="F15" s="12">
        <v>50</v>
      </c>
      <c r="G15" s="11">
        <f t="shared" si="1"/>
        <v>50</v>
      </c>
      <c r="H15" s="11">
        <f t="shared" ref="H15:H33" si="2">+IF(D15&lt;=($F$7+$F$8),-TRUNC($F$9/5),"")</f>
        <v>-10</v>
      </c>
      <c r="I15" s="11">
        <f t="shared" ref="I15:I33" si="3">+IF($D15&lt;=($F$7+$F$8),+$F15-$G15,"")</f>
        <v>0</v>
      </c>
      <c r="J15" s="11">
        <f>+IF($D15&lt;=($F$7+$F$8),J14+I15,"")</f>
        <v>10</v>
      </c>
      <c r="K15" s="11">
        <f t="shared" ref="K15:K33" si="4">+IF(D15&lt;=$F$7+$F$8,H15+J15,"")</f>
        <v>0</v>
      </c>
      <c r="L15" s="11">
        <f t="shared" ref="L15:L33" si="5">+IF($D15=$F$11,-TRUNC($F$9/5)-$F$8*($F$10-$F$9),IF(D15&lt;=$F$11,-TRUNC($F$9/5),""))</f>
        <v>-13</v>
      </c>
      <c r="M15" s="11">
        <f t="shared" ref="M15:M32" si="6">+IF($D15&lt;=$F$11,-$F15+$G15,"")</f>
        <v>0</v>
      </c>
      <c r="N15" s="11">
        <f>+IF($D15&lt;=$F$11,N14+M15,"")</f>
        <v>10</v>
      </c>
      <c r="O15" s="11">
        <f t="shared" ref="O15:O33" si="7">+IF($D15=$F$11,L15+TRUNC($F$9/5),IF($D15&lt;=$F$11,L15+N15,""))</f>
        <v>-3</v>
      </c>
      <c r="P15" s="11" t="str">
        <f>+IF(AND(D15&gt;$F$11,D15&lt;=$F$7+$F$8),-TRUNC($F$9/5)+$F$8*($F$10-$F$9),"")</f>
        <v/>
      </c>
      <c r="Q15" s="11" t="str">
        <f>+IF(AND(D15&gt;$F$11,D15&lt;=$F$7+$F$8),-$F15+$G15,"")</f>
        <v/>
      </c>
      <c r="R15" s="11">
        <f>IF(D15=$F$11,J15,IF(AND(D15&gt;$F$11,D15&lt;=$F$7+$F$8),+R14+Q15,""))</f>
        <v>10</v>
      </c>
      <c r="S15" s="19" t="str">
        <f t="shared" ref="S15:S33" si="8">+IF(AND(D15&gt;$F$11,D15&lt;=$F$7+$F$8),P15+R15,"")</f>
        <v/>
      </c>
    </row>
    <row r="16" spans="4:19" x14ac:dyDescent="0.25">
      <c r="D16" s="1">
        <f t="shared" ref="D16:D33" si="9">1+D15</f>
        <v>3</v>
      </c>
      <c r="E16" s="18" t="str">
        <f t="shared" si="0"/>
        <v>Negotiation</v>
      </c>
      <c r="F16" s="12">
        <v>55</v>
      </c>
      <c r="G16" s="11">
        <f t="shared" si="1"/>
        <v>50</v>
      </c>
      <c r="H16" s="11">
        <f t="shared" si="2"/>
        <v>-10</v>
      </c>
      <c r="I16" s="11">
        <f t="shared" si="3"/>
        <v>5</v>
      </c>
      <c r="J16" s="11">
        <f t="shared" ref="J16:J33" si="10">+IF($D16&lt;=($F$7+$F$8),J15+I16,"")</f>
        <v>15</v>
      </c>
      <c r="K16" s="11">
        <f t="shared" si="4"/>
        <v>5</v>
      </c>
      <c r="L16" s="11" t="str">
        <f t="shared" si="5"/>
        <v/>
      </c>
      <c r="M16" s="11" t="str">
        <f t="shared" si="6"/>
        <v/>
      </c>
      <c r="N16" s="11" t="str">
        <f t="shared" ref="N16:N33" si="11">+IF($D16&lt;=$F$11,N15+M16,"")</f>
        <v/>
      </c>
      <c r="O16" s="11" t="str">
        <f t="shared" si="7"/>
        <v/>
      </c>
      <c r="P16" s="11">
        <f t="shared" ref="P16:P33" si="12">+IF(AND(D16&gt;$F$11,D16&lt;=$F$7+$F$8),-TRUNC($F$9/5)+$F$8*($F$10-$F$9),"")</f>
        <v>-7</v>
      </c>
      <c r="Q16" s="11">
        <f t="shared" ref="Q16:Q33" si="13">+IF(AND(D16&gt;$F$11,D16&lt;=$F$7+$F$8),-$F16+$G16,"")</f>
        <v>-5</v>
      </c>
      <c r="R16" s="11">
        <f t="shared" ref="R16:R33" si="14">IF(D16=$F$11,J16,IF(AND(D16&gt;$F$11,D16&lt;=$F$7+$F$8),+R15+Q16,""))</f>
        <v>5</v>
      </c>
      <c r="S16" s="19">
        <f t="shared" si="8"/>
        <v>-2</v>
      </c>
    </row>
    <row r="17" spans="4:19" x14ac:dyDescent="0.25">
      <c r="D17" s="1">
        <f t="shared" si="9"/>
        <v>4</v>
      </c>
      <c r="E17" s="18" t="str">
        <f t="shared" si="0"/>
        <v>Delivery</v>
      </c>
      <c r="F17" s="12">
        <v>51</v>
      </c>
      <c r="G17" s="11">
        <f t="shared" si="1"/>
        <v>55</v>
      </c>
      <c r="H17" s="11">
        <f t="shared" si="2"/>
        <v>-10</v>
      </c>
      <c r="I17" s="11">
        <f t="shared" si="3"/>
        <v>-4</v>
      </c>
      <c r="J17" s="11">
        <f t="shared" si="10"/>
        <v>11</v>
      </c>
      <c r="K17" s="11">
        <f t="shared" si="4"/>
        <v>1</v>
      </c>
      <c r="L17" s="11" t="str">
        <f t="shared" si="5"/>
        <v/>
      </c>
      <c r="M17" s="11" t="str">
        <f t="shared" si="6"/>
        <v/>
      </c>
      <c r="N17" s="11" t="str">
        <f t="shared" si="11"/>
        <v/>
      </c>
      <c r="O17" s="11" t="str">
        <f t="shared" si="7"/>
        <v/>
      </c>
      <c r="P17" s="11">
        <f t="shared" si="12"/>
        <v>-7</v>
      </c>
      <c r="Q17" s="11">
        <f t="shared" si="13"/>
        <v>4</v>
      </c>
      <c r="R17" s="11">
        <f t="shared" si="14"/>
        <v>9</v>
      </c>
      <c r="S17" s="19">
        <f t="shared" si="8"/>
        <v>2</v>
      </c>
    </row>
    <row r="18" spans="4:19" x14ac:dyDescent="0.25">
      <c r="D18" s="1">
        <f t="shared" si="9"/>
        <v>5</v>
      </c>
      <c r="E18" s="18" t="str">
        <f t="shared" si="0"/>
        <v>Delivery</v>
      </c>
      <c r="F18" s="12">
        <v>51</v>
      </c>
      <c r="G18" s="11">
        <f t="shared" si="1"/>
        <v>50</v>
      </c>
      <c r="H18" s="11">
        <f t="shared" si="2"/>
        <v>-10</v>
      </c>
      <c r="I18" s="11">
        <f t="shared" si="3"/>
        <v>1</v>
      </c>
      <c r="J18" s="11">
        <f t="shared" si="10"/>
        <v>12</v>
      </c>
      <c r="K18" s="11">
        <f t="shared" si="4"/>
        <v>2</v>
      </c>
      <c r="L18" s="11" t="str">
        <f t="shared" si="5"/>
        <v/>
      </c>
      <c r="M18" s="11" t="str">
        <f t="shared" si="6"/>
        <v/>
      </c>
      <c r="N18" s="11" t="str">
        <f t="shared" si="11"/>
        <v/>
      </c>
      <c r="O18" s="11" t="str">
        <f t="shared" si="7"/>
        <v/>
      </c>
      <c r="P18" s="11">
        <f t="shared" si="12"/>
        <v>-7</v>
      </c>
      <c r="Q18" s="11">
        <f t="shared" si="13"/>
        <v>-1</v>
      </c>
      <c r="R18" s="11">
        <f t="shared" si="14"/>
        <v>8</v>
      </c>
      <c r="S18" s="19">
        <f t="shared" si="8"/>
        <v>1</v>
      </c>
    </row>
    <row r="19" spans="4:19" x14ac:dyDescent="0.25">
      <c r="D19" s="1">
        <f t="shared" si="9"/>
        <v>6</v>
      </c>
      <c r="E19" s="18" t="str">
        <f t="shared" si="0"/>
        <v>Delivery</v>
      </c>
      <c r="F19" s="12">
        <v>49</v>
      </c>
      <c r="G19" s="11">
        <f t="shared" si="1"/>
        <v>50</v>
      </c>
      <c r="H19" s="11">
        <f t="shared" si="2"/>
        <v>-10</v>
      </c>
      <c r="I19" s="11">
        <f t="shared" si="3"/>
        <v>-1</v>
      </c>
      <c r="J19" s="11">
        <f t="shared" si="10"/>
        <v>11</v>
      </c>
      <c r="K19" s="11">
        <f t="shared" si="4"/>
        <v>1</v>
      </c>
      <c r="L19" s="11" t="str">
        <f t="shared" si="5"/>
        <v/>
      </c>
      <c r="M19" s="11" t="str">
        <f t="shared" si="6"/>
        <v/>
      </c>
      <c r="N19" s="11" t="str">
        <f t="shared" si="11"/>
        <v/>
      </c>
      <c r="O19" s="11" t="str">
        <f t="shared" si="7"/>
        <v/>
      </c>
      <c r="P19" s="11">
        <f t="shared" si="12"/>
        <v>-7</v>
      </c>
      <c r="Q19" s="11">
        <f t="shared" si="13"/>
        <v>1</v>
      </c>
      <c r="R19" s="11">
        <f t="shared" si="14"/>
        <v>9</v>
      </c>
      <c r="S19" s="19">
        <f t="shared" si="8"/>
        <v>2</v>
      </c>
    </row>
    <row r="20" spans="4:19" x14ac:dyDescent="0.25">
      <c r="D20" s="1">
        <f t="shared" si="9"/>
        <v>7</v>
      </c>
      <c r="E20" s="18" t="str">
        <f t="shared" si="0"/>
        <v/>
      </c>
      <c r="F20" s="12">
        <v>50</v>
      </c>
      <c r="G20" s="11" t="str">
        <f t="shared" si="1"/>
        <v/>
      </c>
      <c r="H20" s="11" t="str">
        <f t="shared" si="2"/>
        <v/>
      </c>
      <c r="I20" s="11" t="str">
        <f t="shared" si="3"/>
        <v/>
      </c>
      <c r="J20" s="11" t="str">
        <f t="shared" si="10"/>
        <v/>
      </c>
      <c r="K20" s="11" t="str">
        <f t="shared" si="4"/>
        <v/>
      </c>
      <c r="L20" s="11" t="str">
        <f t="shared" si="5"/>
        <v/>
      </c>
      <c r="M20" s="11" t="str">
        <f t="shared" si="6"/>
        <v/>
      </c>
      <c r="N20" s="11" t="str">
        <f t="shared" si="11"/>
        <v/>
      </c>
      <c r="O20" s="11" t="str">
        <f t="shared" si="7"/>
        <v/>
      </c>
      <c r="P20" s="11" t="str">
        <f t="shared" si="12"/>
        <v/>
      </c>
      <c r="Q20" s="11" t="str">
        <f t="shared" si="13"/>
        <v/>
      </c>
      <c r="R20" s="11" t="str">
        <f t="shared" si="14"/>
        <v/>
      </c>
      <c r="S20" s="19" t="str">
        <f t="shared" si="8"/>
        <v/>
      </c>
    </row>
    <row r="21" spans="4:19" x14ac:dyDescent="0.25">
      <c r="D21" s="1">
        <f t="shared" si="9"/>
        <v>8</v>
      </c>
      <c r="E21" s="18" t="str">
        <f t="shared" si="0"/>
        <v/>
      </c>
      <c r="F21" s="12">
        <v>50</v>
      </c>
      <c r="G21" s="11" t="str">
        <f t="shared" si="1"/>
        <v/>
      </c>
      <c r="H21" s="11" t="str">
        <f t="shared" si="2"/>
        <v/>
      </c>
      <c r="I21" s="11" t="str">
        <f t="shared" si="3"/>
        <v/>
      </c>
      <c r="J21" s="11" t="str">
        <f t="shared" si="10"/>
        <v/>
      </c>
      <c r="K21" s="11" t="str">
        <f t="shared" si="4"/>
        <v/>
      </c>
      <c r="L21" s="11" t="str">
        <f t="shared" si="5"/>
        <v/>
      </c>
      <c r="M21" s="11" t="str">
        <f t="shared" si="6"/>
        <v/>
      </c>
      <c r="N21" s="11" t="str">
        <f t="shared" si="11"/>
        <v/>
      </c>
      <c r="O21" s="11" t="str">
        <f t="shared" si="7"/>
        <v/>
      </c>
      <c r="P21" s="11" t="str">
        <f t="shared" si="12"/>
        <v/>
      </c>
      <c r="Q21" s="11" t="str">
        <f t="shared" si="13"/>
        <v/>
      </c>
      <c r="R21" s="11" t="str">
        <f t="shared" si="14"/>
        <v/>
      </c>
      <c r="S21" s="19" t="str">
        <f t="shared" si="8"/>
        <v/>
      </c>
    </row>
    <row r="22" spans="4:19" x14ac:dyDescent="0.25">
      <c r="D22" s="1">
        <f t="shared" si="9"/>
        <v>9</v>
      </c>
      <c r="E22" s="18" t="str">
        <f t="shared" si="0"/>
        <v/>
      </c>
      <c r="F22" s="12">
        <v>50</v>
      </c>
      <c r="G22" s="11" t="str">
        <f t="shared" si="1"/>
        <v/>
      </c>
      <c r="H22" s="11" t="str">
        <f t="shared" si="2"/>
        <v/>
      </c>
      <c r="I22" s="11" t="str">
        <f t="shared" si="3"/>
        <v/>
      </c>
      <c r="J22" s="11" t="str">
        <f t="shared" si="10"/>
        <v/>
      </c>
      <c r="K22" s="11" t="str">
        <f t="shared" si="4"/>
        <v/>
      </c>
      <c r="L22" s="11" t="str">
        <f t="shared" si="5"/>
        <v/>
      </c>
      <c r="M22" s="11" t="str">
        <f t="shared" si="6"/>
        <v/>
      </c>
      <c r="N22" s="11" t="str">
        <f t="shared" si="11"/>
        <v/>
      </c>
      <c r="O22" s="11" t="str">
        <f t="shared" si="7"/>
        <v/>
      </c>
      <c r="P22" s="11" t="str">
        <f t="shared" si="12"/>
        <v/>
      </c>
      <c r="Q22" s="11" t="str">
        <f t="shared" si="13"/>
        <v/>
      </c>
      <c r="R22" s="11" t="str">
        <f t="shared" si="14"/>
        <v/>
      </c>
      <c r="S22" s="19" t="str">
        <f t="shared" si="8"/>
        <v/>
      </c>
    </row>
    <row r="23" spans="4:19" x14ac:dyDescent="0.25">
      <c r="D23" s="1">
        <f t="shared" si="9"/>
        <v>10</v>
      </c>
      <c r="E23" s="18" t="str">
        <f t="shared" si="0"/>
        <v/>
      </c>
      <c r="F23" s="12"/>
      <c r="G23" s="11" t="str">
        <f t="shared" si="1"/>
        <v/>
      </c>
      <c r="H23" s="11" t="str">
        <f t="shared" si="2"/>
        <v/>
      </c>
      <c r="I23" s="11" t="str">
        <f t="shared" si="3"/>
        <v/>
      </c>
      <c r="J23" s="11" t="str">
        <f t="shared" si="10"/>
        <v/>
      </c>
      <c r="K23" s="11" t="str">
        <f t="shared" si="4"/>
        <v/>
      </c>
      <c r="L23" s="11" t="str">
        <f t="shared" si="5"/>
        <v/>
      </c>
      <c r="M23" s="11" t="str">
        <f t="shared" si="6"/>
        <v/>
      </c>
      <c r="N23" s="11" t="str">
        <f t="shared" si="11"/>
        <v/>
      </c>
      <c r="O23" s="11" t="str">
        <f t="shared" si="7"/>
        <v/>
      </c>
      <c r="P23" s="11" t="str">
        <f t="shared" si="12"/>
        <v/>
      </c>
      <c r="Q23" s="11" t="str">
        <f t="shared" si="13"/>
        <v/>
      </c>
      <c r="R23" s="11" t="str">
        <f t="shared" si="14"/>
        <v/>
      </c>
      <c r="S23" s="19" t="str">
        <f t="shared" si="8"/>
        <v/>
      </c>
    </row>
    <row r="24" spans="4:19" x14ac:dyDescent="0.25">
      <c r="D24" s="1">
        <f t="shared" si="9"/>
        <v>11</v>
      </c>
      <c r="E24" s="18" t="str">
        <f t="shared" si="0"/>
        <v/>
      </c>
      <c r="F24" s="13"/>
      <c r="G24" s="11" t="str">
        <f t="shared" si="1"/>
        <v/>
      </c>
      <c r="H24" s="11" t="str">
        <f t="shared" si="2"/>
        <v/>
      </c>
      <c r="I24" s="11" t="str">
        <f t="shared" si="3"/>
        <v/>
      </c>
      <c r="J24" s="11" t="str">
        <f t="shared" si="10"/>
        <v/>
      </c>
      <c r="K24" s="11" t="str">
        <f t="shared" si="4"/>
        <v/>
      </c>
      <c r="L24" s="11" t="str">
        <f t="shared" si="5"/>
        <v/>
      </c>
      <c r="M24" s="11" t="str">
        <f t="shared" si="6"/>
        <v/>
      </c>
      <c r="N24" s="11" t="str">
        <f t="shared" si="11"/>
        <v/>
      </c>
      <c r="O24" s="11" t="str">
        <f t="shared" si="7"/>
        <v/>
      </c>
      <c r="P24" s="11" t="str">
        <f t="shared" si="12"/>
        <v/>
      </c>
      <c r="Q24" s="11" t="str">
        <f t="shared" si="13"/>
        <v/>
      </c>
      <c r="R24" s="11" t="str">
        <f t="shared" si="14"/>
        <v/>
      </c>
      <c r="S24" s="19" t="str">
        <f t="shared" si="8"/>
        <v/>
      </c>
    </row>
    <row r="25" spans="4:19" x14ac:dyDescent="0.25">
      <c r="D25" s="1">
        <f t="shared" si="9"/>
        <v>12</v>
      </c>
      <c r="E25" s="18" t="str">
        <f t="shared" si="0"/>
        <v/>
      </c>
      <c r="F25" s="13"/>
      <c r="G25" s="11" t="str">
        <f t="shared" si="1"/>
        <v/>
      </c>
      <c r="H25" s="11" t="str">
        <f t="shared" si="2"/>
        <v/>
      </c>
      <c r="I25" s="11" t="str">
        <f t="shared" si="3"/>
        <v/>
      </c>
      <c r="J25" s="11" t="str">
        <f t="shared" si="10"/>
        <v/>
      </c>
      <c r="K25" s="11" t="str">
        <f t="shared" si="4"/>
        <v/>
      </c>
      <c r="L25" s="11" t="str">
        <f t="shared" si="5"/>
        <v/>
      </c>
      <c r="M25" s="11" t="str">
        <f t="shared" si="6"/>
        <v/>
      </c>
      <c r="N25" s="11" t="str">
        <f t="shared" si="11"/>
        <v/>
      </c>
      <c r="O25" s="11" t="str">
        <f t="shared" si="7"/>
        <v/>
      </c>
      <c r="P25" s="11" t="str">
        <f t="shared" si="12"/>
        <v/>
      </c>
      <c r="Q25" s="11" t="str">
        <f t="shared" si="13"/>
        <v/>
      </c>
      <c r="R25" s="11" t="str">
        <f t="shared" si="14"/>
        <v/>
      </c>
      <c r="S25" s="19" t="str">
        <f t="shared" si="8"/>
        <v/>
      </c>
    </row>
    <row r="26" spans="4:19" x14ac:dyDescent="0.25">
      <c r="D26" s="1">
        <f t="shared" si="9"/>
        <v>13</v>
      </c>
      <c r="E26" s="18" t="str">
        <f t="shared" si="0"/>
        <v/>
      </c>
      <c r="F26" s="13"/>
      <c r="G26" s="11" t="str">
        <f t="shared" si="1"/>
        <v/>
      </c>
      <c r="H26" s="11" t="str">
        <f t="shared" si="2"/>
        <v/>
      </c>
      <c r="I26" s="11" t="str">
        <f t="shared" si="3"/>
        <v/>
      </c>
      <c r="J26" s="11" t="str">
        <f t="shared" si="10"/>
        <v/>
      </c>
      <c r="K26" s="11" t="str">
        <f t="shared" si="4"/>
        <v/>
      </c>
      <c r="L26" s="11" t="str">
        <f t="shared" si="5"/>
        <v/>
      </c>
      <c r="M26" s="11" t="str">
        <f t="shared" si="6"/>
        <v/>
      </c>
      <c r="N26" s="11" t="str">
        <f t="shared" si="11"/>
        <v/>
      </c>
      <c r="O26" s="11" t="str">
        <f t="shared" si="7"/>
        <v/>
      </c>
      <c r="P26" s="11" t="str">
        <f t="shared" si="12"/>
        <v/>
      </c>
      <c r="Q26" s="11" t="str">
        <f t="shared" si="13"/>
        <v/>
      </c>
      <c r="R26" s="11" t="str">
        <f t="shared" si="14"/>
        <v/>
      </c>
      <c r="S26" s="19" t="str">
        <f t="shared" si="8"/>
        <v/>
      </c>
    </row>
    <row r="27" spans="4:19" x14ac:dyDescent="0.25">
      <c r="D27" s="1">
        <f t="shared" si="9"/>
        <v>14</v>
      </c>
      <c r="E27" s="18" t="str">
        <f t="shared" si="0"/>
        <v/>
      </c>
      <c r="F27" s="13"/>
      <c r="G27" s="11" t="str">
        <f t="shared" si="1"/>
        <v/>
      </c>
      <c r="H27" s="11" t="str">
        <f t="shared" si="2"/>
        <v/>
      </c>
      <c r="I27" s="11" t="str">
        <f t="shared" si="3"/>
        <v/>
      </c>
      <c r="J27" s="11" t="str">
        <f t="shared" si="10"/>
        <v/>
      </c>
      <c r="K27" s="11" t="str">
        <f t="shared" si="4"/>
        <v/>
      </c>
      <c r="L27" s="11" t="str">
        <f t="shared" si="5"/>
        <v/>
      </c>
      <c r="M27" s="11" t="str">
        <f t="shared" si="6"/>
        <v/>
      </c>
      <c r="N27" s="11" t="str">
        <f t="shared" si="11"/>
        <v/>
      </c>
      <c r="O27" s="11" t="str">
        <f t="shared" si="7"/>
        <v/>
      </c>
      <c r="P27" s="11" t="str">
        <f t="shared" si="12"/>
        <v/>
      </c>
      <c r="Q27" s="11" t="str">
        <f t="shared" si="13"/>
        <v/>
      </c>
      <c r="R27" s="11" t="str">
        <f t="shared" si="14"/>
        <v/>
      </c>
      <c r="S27" s="19" t="str">
        <f t="shared" si="8"/>
        <v/>
      </c>
    </row>
    <row r="28" spans="4:19" x14ac:dyDescent="0.25">
      <c r="D28" s="1">
        <f t="shared" si="9"/>
        <v>15</v>
      </c>
      <c r="E28" s="18" t="str">
        <f t="shared" si="0"/>
        <v/>
      </c>
      <c r="F28" s="13"/>
      <c r="G28" s="11" t="str">
        <f t="shared" si="1"/>
        <v/>
      </c>
      <c r="H28" s="11" t="str">
        <f t="shared" si="2"/>
        <v/>
      </c>
      <c r="I28" s="11" t="str">
        <f t="shared" si="3"/>
        <v/>
      </c>
      <c r="J28" s="11" t="str">
        <f t="shared" si="10"/>
        <v/>
      </c>
      <c r="K28" s="11" t="str">
        <f t="shared" si="4"/>
        <v/>
      </c>
      <c r="L28" s="11" t="str">
        <f t="shared" si="5"/>
        <v/>
      </c>
      <c r="M28" s="11" t="str">
        <f t="shared" si="6"/>
        <v/>
      </c>
      <c r="N28" s="11" t="str">
        <f t="shared" si="11"/>
        <v/>
      </c>
      <c r="O28" s="11" t="str">
        <f t="shared" si="7"/>
        <v/>
      </c>
      <c r="P28" s="11" t="str">
        <f t="shared" si="12"/>
        <v/>
      </c>
      <c r="Q28" s="11" t="str">
        <f t="shared" si="13"/>
        <v/>
      </c>
      <c r="R28" s="11" t="str">
        <f t="shared" si="14"/>
        <v/>
      </c>
      <c r="S28" s="19" t="str">
        <f t="shared" si="8"/>
        <v/>
      </c>
    </row>
    <row r="29" spans="4:19" x14ac:dyDescent="0.25">
      <c r="D29" s="1">
        <f t="shared" si="9"/>
        <v>16</v>
      </c>
      <c r="E29" s="18" t="str">
        <f t="shared" si="0"/>
        <v/>
      </c>
      <c r="F29" s="13"/>
      <c r="G29" s="11" t="str">
        <f t="shared" si="1"/>
        <v/>
      </c>
      <c r="H29" s="11" t="str">
        <f t="shared" si="2"/>
        <v/>
      </c>
      <c r="I29" s="11" t="str">
        <f t="shared" si="3"/>
        <v/>
      </c>
      <c r="J29" s="11" t="str">
        <f t="shared" si="10"/>
        <v/>
      </c>
      <c r="K29" s="11" t="str">
        <f t="shared" si="4"/>
        <v/>
      </c>
      <c r="L29" s="11" t="str">
        <f t="shared" si="5"/>
        <v/>
      </c>
      <c r="M29" s="11" t="str">
        <f t="shared" si="6"/>
        <v/>
      </c>
      <c r="N29" s="11" t="str">
        <f t="shared" si="11"/>
        <v/>
      </c>
      <c r="O29" s="11" t="str">
        <f t="shared" si="7"/>
        <v/>
      </c>
      <c r="P29" s="11" t="str">
        <f t="shared" si="12"/>
        <v/>
      </c>
      <c r="Q29" s="11" t="str">
        <f t="shared" si="13"/>
        <v/>
      </c>
      <c r="R29" s="11" t="str">
        <f t="shared" si="14"/>
        <v/>
      </c>
      <c r="S29" s="19" t="str">
        <f t="shared" si="8"/>
        <v/>
      </c>
    </row>
    <row r="30" spans="4:19" x14ac:dyDescent="0.25">
      <c r="D30" s="1">
        <f t="shared" si="9"/>
        <v>17</v>
      </c>
      <c r="E30" s="18" t="str">
        <f t="shared" si="0"/>
        <v/>
      </c>
      <c r="F30" s="13"/>
      <c r="G30" s="11" t="str">
        <f t="shared" si="1"/>
        <v/>
      </c>
      <c r="H30" s="11" t="str">
        <f t="shared" si="2"/>
        <v/>
      </c>
      <c r="I30" s="11" t="str">
        <f t="shared" si="3"/>
        <v/>
      </c>
      <c r="J30" s="11" t="str">
        <f t="shared" si="10"/>
        <v/>
      </c>
      <c r="K30" s="11" t="str">
        <f t="shared" si="4"/>
        <v/>
      </c>
      <c r="L30" s="11" t="str">
        <f t="shared" si="5"/>
        <v/>
      </c>
      <c r="M30" s="11" t="str">
        <f t="shared" si="6"/>
        <v/>
      </c>
      <c r="N30" s="11" t="str">
        <f t="shared" si="11"/>
        <v/>
      </c>
      <c r="O30" s="11" t="str">
        <f t="shared" si="7"/>
        <v/>
      </c>
      <c r="P30" s="11" t="str">
        <f t="shared" si="12"/>
        <v/>
      </c>
      <c r="Q30" s="11" t="str">
        <f t="shared" si="13"/>
        <v/>
      </c>
      <c r="R30" s="11" t="str">
        <f t="shared" si="14"/>
        <v/>
      </c>
      <c r="S30" s="19" t="str">
        <f t="shared" si="8"/>
        <v/>
      </c>
    </row>
    <row r="31" spans="4:19" x14ac:dyDescent="0.25">
      <c r="D31" s="1">
        <f t="shared" si="9"/>
        <v>18</v>
      </c>
      <c r="E31" s="18" t="str">
        <f t="shared" si="0"/>
        <v/>
      </c>
      <c r="F31" s="13"/>
      <c r="G31" s="11" t="str">
        <f t="shared" si="1"/>
        <v/>
      </c>
      <c r="H31" s="11" t="str">
        <f t="shared" si="2"/>
        <v/>
      </c>
      <c r="I31" s="11" t="str">
        <f t="shared" si="3"/>
        <v/>
      </c>
      <c r="J31" s="11" t="str">
        <f t="shared" si="10"/>
        <v/>
      </c>
      <c r="K31" s="11" t="str">
        <f t="shared" si="4"/>
        <v/>
      </c>
      <c r="L31" s="11" t="str">
        <f t="shared" si="5"/>
        <v/>
      </c>
      <c r="M31" s="11" t="str">
        <f t="shared" si="6"/>
        <v/>
      </c>
      <c r="N31" s="11" t="str">
        <f t="shared" si="11"/>
        <v/>
      </c>
      <c r="O31" s="11" t="str">
        <f t="shared" si="7"/>
        <v/>
      </c>
      <c r="P31" s="11" t="str">
        <f t="shared" si="12"/>
        <v/>
      </c>
      <c r="Q31" s="11" t="str">
        <f t="shared" si="13"/>
        <v/>
      </c>
      <c r="R31" s="11" t="str">
        <f t="shared" si="14"/>
        <v/>
      </c>
      <c r="S31" s="19" t="str">
        <f t="shared" si="8"/>
        <v/>
      </c>
    </row>
    <row r="32" spans="4:19" x14ac:dyDescent="0.25">
      <c r="D32" s="1">
        <f t="shared" si="9"/>
        <v>19</v>
      </c>
      <c r="E32" s="18" t="str">
        <f t="shared" si="0"/>
        <v/>
      </c>
      <c r="F32" s="13"/>
      <c r="G32" s="11" t="str">
        <f t="shared" si="1"/>
        <v/>
      </c>
      <c r="H32" s="11" t="str">
        <f t="shared" si="2"/>
        <v/>
      </c>
      <c r="I32" s="11" t="str">
        <f t="shared" si="3"/>
        <v/>
      </c>
      <c r="J32" s="11" t="str">
        <f t="shared" si="10"/>
        <v/>
      </c>
      <c r="K32" s="11" t="str">
        <f t="shared" si="4"/>
        <v/>
      </c>
      <c r="L32" s="11" t="str">
        <f t="shared" si="5"/>
        <v/>
      </c>
      <c r="M32" s="11" t="str">
        <f t="shared" si="6"/>
        <v/>
      </c>
      <c r="N32" s="11" t="str">
        <f t="shared" si="11"/>
        <v/>
      </c>
      <c r="O32" s="11" t="str">
        <f t="shared" si="7"/>
        <v/>
      </c>
      <c r="P32" s="11" t="str">
        <f t="shared" si="12"/>
        <v/>
      </c>
      <c r="Q32" s="11" t="str">
        <f t="shared" si="13"/>
        <v/>
      </c>
      <c r="R32" s="11" t="str">
        <f t="shared" si="14"/>
        <v/>
      </c>
      <c r="S32" s="19" t="str">
        <f t="shared" si="8"/>
        <v/>
      </c>
    </row>
    <row r="33" spans="4:19" ht="15.75" thickBot="1" x14ac:dyDescent="0.3">
      <c r="D33" s="1">
        <f t="shared" si="9"/>
        <v>20</v>
      </c>
      <c r="E33" s="20" t="str">
        <f t="shared" si="0"/>
        <v/>
      </c>
      <c r="F33" s="21"/>
      <c r="G33" s="22" t="str">
        <f t="shared" si="1"/>
        <v/>
      </c>
      <c r="H33" s="22" t="str">
        <f t="shared" si="2"/>
        <v/>
      </c>
      <c r="I33" s="22" t="str">
        <f t="shared" si="3"/>
        <v/>
      </c>
      <c r="J33" s="22" t="str">
        <f t="shared" si="10"/>
        <v/>
      </c>
      <c r="K33" s="22" t="str">
        <f t="shared" si="4"/>
        <v/>
      </c>
      <c r="L33" s="22" t="str">
        <f t="shared" si="5"/>
        <v/>
      </c>
      <c r="M33" s="22" t="str">
        <f>+IF($D33&lt;=($F$7+$F$8),-$F33+$G33,"")</f>
        <v/>
      </c>
      <c r="N33" s="22" t="str">
        <f t="shared" si="11"/>
        <v/>
      </c>
      <c r="O33" s="22" t="str">
        <f t="shared" si="7"/>
        <v/>
      </c>
      <c r="P33" s="22" t="str">
        <f t="shared" si="12"/>
        <v/>
      </c>
      <c r="Q33" s="22" t="str">
        <f t="shared" si="13"/>
        <v/>
      </c>
      <c r="R33" s="22" t="str">
        <f t="shared" si="14"/>
        <v/>
      </c>
      <c r="S33" s="23" t="str">
        <f t="shared" si="8"/>
        <v/>
      </c>
    </row>
    <row r="34" spans="4:19" x14ac:dyDescent="0.25">
      <c r="E34" s="1"/>
      <c r="I34" s="2"/>
      <c r="J34" s="3"/>
      <c r="K34" s="3"/>
      <c r="L34" s="1"/>
      <c r="M34" s="2"/>
      <c r="N34" s="4"/>
    </row>
    <row r="35" spans="4:19" x14ac:dyDescent="0.25">
      <c r="E35" s="1"/>
    </row>
  </sheetData>
  <mergeCells count="12">
    <mergeCell ref="E12:E13"/>
    <mergeCell ref="F12:F13"/>
    <mergeCell ref="G12:G13"/>
    <mergeCell ref="H12:K12"/>
    <mergeCell ref="L12:O12"/>
    <mergeCell ref="P12:S12"/>
    <mergeCell ref="H11:I11"/>
    <mergeCell ref="J11:K11"/>
    <mergeCell ref="L11:M11"/>
    <mergeCell ref="N11:O11"/>
    <mergeCell ref="P11:Q11"/>
    <mergeCell ref="R11:S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Case A</vt:lpstr>
      <vt:lpstr>Case B</vt:lpstr>
      <vt:lpstr>Case 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García</dc:creator>
  <cp:lastModifiedBy>Daniel García</cp:lastModifiedBy>
  <dcterms:created xsi:type="dcterms:W3CDTF">2018-03-12T11:40:01Z</dcterms:created>
  <dcterms:modified xsi:type="dcterms:W3CDTF">2018-03-26T10:56:15Z</dcterms:modified>
</cp:coreProperties>
</file>